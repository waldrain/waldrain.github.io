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27.xml" ContentType="application/vnd.ms-excel.controlproperties+xml"/>
  <Override PartName="/xl/drawings/drawing7.xml" ContentType="application/vnd.openxmlformats-officedocument.drawing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9" codeName="{7AA9133B-0738-3967-A58A-2178011A57A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jta/j/doc/house/huenerberg/waldrain/html/waldrain.github.io/doc/pv/2023-02-19_h30_ne_proposal_tidesolar/ck_bsb/"/>
    </mc:Choice>
  </mc:AlternateContent>
  <xr:revisionPtr revIDLastSave="0" documentId="13_ncr:1_{979FC4CC-BA06-A24C-A612-8C84C14BBC8A}" xr6:coauthVersionLast="47" xr6:coauthVersionMax="47" xr10:uidLastSave="{00000000-0000-0000-0000-000000000000}"/>
  <bookViews>
    <workbookView xWindow="1440" yWindow="760" windowWidth="33120" windowHeight="21580" tabRatio="662" activeTab="1" xr2:uid="{00000000-000D-0000-FFFF-FFFF00000000}"/>
  </bookViews>
  <sheets>
    <sheet name="Menue" sheetId="6" r:id="rId1"/>
    <sheet name="Eingaben" sheetId="1" r:id="rId2"/>
    <sheet name="Ergebnisse" sheetId="4" r:id="rId3"/>
    <sheet name="Ausgabe" sheetId="7" r:id="rId4"/>
    <sheet name="E-Mobilitaet" sheetId="5" r:id="rId5"/>
    <sheet name="Daten" sheetId="2" r:id="rId6"/>
    <sheet name="Revision" sheetId="8" r:id="rId7"/>
  </sheets>
  <definedNames>
    <definedName name="Azimut">Daten!$D$119:$D$133</definedName>
    <definedName name="B_Preis">'E-Mobilitaet'!$C$6</definedName>
    <definedName name="Betriebskosten">Eingaben!$J$67</definedName>
    <definedName name="Bezug">Eingaben!$J$14</definedName>
    <definedName name="Bezug_zuhause_N">'E-Mobilitaet'!$D$21</definedName>
    <definedName name="Bezug_zuhause_T">'E-Mobilitaet'!$D$24</definedName>
    <definedName name="BSB_StO">#REF!</definedName>
    <definedName name="Datum_Inbetrieb">Eingaben!$J$38</definedName>
    <definedName name="Degradation">Eingaben!$J$8</definedName>
    <definedName name="EA_zuhause_laden">'E-Mobilitaet'!$D$20</definedName>
    <definedName name="EEG_ab_30">Eingaben!#REF!</definedName>
    <definedName name="EEG_Verg_10">Eingaben!$J$40</definedName>
    <definedName name="EEG_Verg_10_40">Eingaben!$J$41</definedName>
    <definedName name="EEG_Verg_40_750">Eingaben!$J$42</definedName>
    <definedName name="Eigenverbrauch">Ergebnisse!$J$16</definedName>
    <definedName name="Einspeis_Verg">Eingaben!$J$44</definedName>
    <definedName name="Ertrag_Jahr01">Ergebnisse!$J$10</definedName>
    <definedName name="Flaechen">Daten!$D$107:$D$114</definedName>
    <definedName name="Grundgebühr_WP">Eingaben!$J$32</definedName>
    <definedName name="Invest_PV">Eingaben!$J$61</definedName>
    <definedName name="Jähr.Einsp_EA">'E-Mobilitaet'!$D$34</definedName>
    <definedName name="Jähr.Einsp_EA_Dek2">'E-Mobilitaet'!$E$34</definedName>
    <definedName name="Kost_Benz">Daten!$G$96</definedName>
    <definedName name="KtoStand_Ende">Ergebnisse!$O$47</definedName>
    <definedName name="Ma_Dat">#REF!</definedName>
    <definedName name="Mitarb">#REF!</definedName>
    <definedName name="MwSt">Eingaben!$J$47</definedName>
    <definedName name="Preissteigerung">Eingaben!$J$36</definedName>
    <definedName name="_xlnm.Print_Area" localSheetId="3">Ausgabe!$A$1:$M$116</definedName>
    <definedName name="_xlnm.Print_Area" localSheetId="4">'E-Mobilitaet'!$A$1:$D$35</definedName>
    <definedName name="_xlnm.Print_Area" localSheetId="1">Eingaben!$B$1:$K$76</definedName>
    <definedName name="PrSteig_Sprit">'E-Mobilitaet'!$C$7</definedName>
    <definedName name="PV_laden_EA">'E-Mobilitaet'!$D$25</definedName>
    <definedName name="PV_Leistung">Eingaben!$J$4</definedName>
    <definedName name="Quote_Eigenverbrauch">Eingaben!$J$12</definedName>
    <definedName name="SolDeck">Eingaben!$J$23</definedName>
    <definedName name="Sonnensteuer">Eingaben!#REF!</definedName>
    <definedName name="Speicher_Akku">Eingaben!$J$6</definedName>
    <definedName name="Speicherverl">Ergebnisse!$J$20</definedName>
    <definedName name="Spez.Energie_Ertrag">Eingaben!$J$10</definedName>
    <definedName name="Status_EA">Eingaben!$J$51</definedName>
    <definedName name="SteuerM">Daten!$F$68:$F$71</definedName>
    <definedName name="SteuerM0">Daten!$B$68:$B$71</definedName>
    <definedName name="SteuerM1">Daten!$B$68:$F$71</definedName>
    <definedName name="Steuermodell">Eingaben!$F$65</definedName>
    <definedName name="Strom_EMOB">Eingaben!$J$24</definedName>
    <definedName name="Strom_HH">Eingaben!$J$19</definedName>
    <definedName name="Strom_WP">Eingaben!$J$21</definedName>
    <definedName name="Strompreis_HH">Eingaben!$J$28</definedName>
    <definedName name="Strompreis_WP">Eingaben!$J$30</definedName>
    <definedName name="Verbr_Benz">'E-Mobilitaet'!$C$5</definedName>
    <definedName name="Vergt">Daten!$D$4:$H$63</definedName>
    <definedName name="Vorteil_BKosten_EA">'E-Mobilitaet'!$D$14</definedName>
    <definedName name="Vorteil_BKosten_EA_Dek2">'E-Mobilitaet'!$E$14</definedName>
    <definedName name="Vorteil_EA">'E-Mobilitaet'!$D$15</definedName>
    <definedName name="Zählermodell">Eingaben!$J$34</definedName>
    <definedName name="ZinsGewinn">Ergebnisse!$I$29</definedName>
    <definedName name="ZinsInvest">Ergebnisse!$I$28</definedName>
    <definedName name="Zinssatz_Gewinn">Eingaben!$J$74</definedName>
    <definedName name="Zinssatz_Invest">Eingaben!$J$72</definedName>
    <definedName name="Zusatzkosten">Eingaben!$J$59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7" i="1" l="1"/>
  <c r="G92" i="7"/>
  <c r="F102" i="7"/>
  <c r="F65" i="1" l="1"/>
  <c r="J61" i="1"/>
  <c r="J67" i="1" s="1"/>
  <c r="F108" i="7" l="1"/>
  <c r="D65" i="1"/>
  <c r="K63" i="7" l="1"/>
  <c r="K61" i="7"/>
  <c r="H63" i="7"/>
  <c r="H61" i="7"/>
  <c r="J34" i="1"/>
  <c r="J5" i="4" s="1"/>
  <c r="H43" i="7"/>
  <c r="E5" i="4" l="1"/>
  <c r="H5" i="4"/>
  <c r="F106" i="7" l="1"/>
  <c r="E40" i="7" l="1"/>
  <c r="H38" i="7" l="1"/>
  <c r="K94" i="7" l="1"/>
  <c r="E63" i="7"/>
  <c r="E69" i="7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F100" i="7"/>
  <c r="F98" i="7"/>
  <c r="E61" i="7" l="1"/>
  <c r="E59" i="7"/>
  <c r="H57" i="7"/>
  <c r="I38" i="7" l="1"/>
  <c r="H3" i="7"/>
  <c r="B4" i="8" l="1"/>
  <c r="B5" i="8" s="1"/>
  <c r="B6" i="8" s="1"/>
  <c r="B7" i="8" s="1"/>
  <c r="B8" i="8" s="1"/>
  <c r="B9" i="8" s="1"/>
  <c r="J74" i="1" l="1"/>
  <c r="F50" i="4" l="1"/>
  <c r="F49" i="4"/>
  <c r="F48" i="4"/>
  <c r="F100" i="2" l="1"/>
  <c r="F95" i="2"/>
  <c r="E95" i="2"/>
  <c r="F94" i="2"/>
  <c r="E94" i="2"/>
  <c r="F93" i="2"/>
  <c r="E93" i="2"/>
  <c r="F92" i="2"/>
  <c r="E92" i="2"/>
  <c r="F91" i="2"/>
  <c r="E91" i="2"/>
  <c r="F90" i="2"/>
  <c r="E90" i="2"/>
  <c r="F89" i="2"/>
  <c r="E89" i="2"/>
  <c r="F88" i="2"/>
  <c r="E88" i="2"/>
  <c r="F87" i="2"/>
  <c r="E87" i="2"/>
  <c r="F86" i="2"/>
  <c r="E86" i="2"/>
  <c r="F85" i="2"/>
  <c r="E85" i="2"/>
  <c r="F84" i="2"/>
  <c r="E84" i="2"/>
  <c r="F83" i="2"/>
  <c r="E83" i="2"/>
  <c r="F82" i="2"/>
  <c r="E82" i="2"/>
  <c r="F81" i="2"/>
  <c r="E81" i="2"/>
  <c r="F80" i="2"/>
  <c r="E80" i="2"/>
  <c r="F79" i="2"/>
  <c r="E79" i="2"/>
  <c r="F78" i="2"/>
  <c r="E78" i="2"/>
  <c r="F77" i="2"/>
  <c r="E77" i="2"/>
  <c r="F76" i="2"/>
  <c r="E76" i="2"/>
  <c r="C5" i="2"/>
  <c r="D5" i="2" s="1"/>
  <c r="B5" i="2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E4" i="2"/>
  <c r="D4" i="2"/>
  <c r="D28" i="5"/>
  <c r="C25" i="5"/>
  <c r="C22" i="5"/>
  <c r="C20" i="5"/>
  <c r="D18" i="5"/>
  <c r="D19" i="5" s="1"/>
  <c r="D27" i="5" s="1"/>
  <c r="M27" i="4"/>
  <c r="M28" i="4" s="1"/>
  <c r="M29" i="4" s="1"/>
  <c r="M30" i="4" s="1"/>
  <c r="M31" i="4" s="1"/>
  <c r="M32" i="4" s="1"/>
  <c r="M33" i="4" s="1"/>
  <c r="M34" i="4" s="1"/>
  <c r="M35" i="4" s="1"/>
  <c r="M36" i="4" s="1"/>
  <c r="M37" i="4" s="1"/>
  <c r="M38" i="4" s="1"/>
  <c r="M39" i="4" s="1"/>
  <c r="M40" i="4" s="1"/>
  <c r="M41" i="4" s="1"/>
  <c r="M42" i="4" s="1"/>
  <c r="M43" i="4" s="1"/>
  <c r="M44" i="4" s="1"/>
  <c r="M45" i="4" s="1"/>
  <c r="M46" i="4" s="1"/>
  <c r="M47" i="4" s="1"/>
  <c r="J10" i="4"/>
  <c r="D20" i="4" s="1"/>
  <c r="E4" i="4"/>
  <c r="J72" i="1"/>
  <c r="J51" i="1"/>
  <c r="E6" i="4" s="1"/>
  <c r="F40" i="1"/>
  <c r="E40" i="1"/>
  <c r="M20" i="4" l="1"/>
  <c r="M18" i="4"/>
  <c r="G77" i="7"/>
  <c r="H41" i="7"/>
  <c r="J20" i="4"/>
  <c r="F104" i="7"/>
  <c r="I24" i="4"/>
  <c r="E39" i="7" s="1"/>
  <c r="O26" i="4"/>
  <c r="K111" i="7"/>
  <c r="G79" i="2"/>
  <c r="G83" i="2"/>
  <c r="G87" i="2"/>
  <c r="G89" i="2"/>
  <c r="G91" i="2"/>
  <c r="G95" i="2"/>
  <c r="G78" i="2"/>
  <c r="G80" i="2"/>
  <c r="H111" i="7"/>
  <c r="F111" i="7"/>
  <c r="J24" i="1"/>
  <c r="G42" i="7"/>
  <c r="G82" i="2"/>
  <c r="G84" i="2"/>
  <c r="G86" i="2"/>
  <c r="G88" i="2"/>
  <c r="G77" i="2"/>
  <c r="G81" i="2"/>
  <c r="G85" i="2"/>
  <c r="D8" i="5"/>
  <c r="F113" i="7" s="1"/>
  <c r="G90" i="2"/>
  <c r="G92" i="2"/>
  <c r="G94" i="2"/>
  <c r="D20" i="5"/>
  <c r="D22" i="5" s="1"/>
  <c r="G93" i="2"/>
  <c r="E96" i="2"/>
  <c r="E5" i="2"/>
  <c r="N46" i="4"/>
  <c r="C6" i="2"/>
  <c r="G76" i="2"/>
  <c r="N39" i="4"/>
  <c r="N29" i="4"/>
  <c r="N37" i="4"/>
  <c r="N45" i="4"/>
  <c r="N43" i="4"/>
  <c r="N31" i="4"/>
  <c r="N27" i="4"/>
  <c r="N35" i="4"/>
  <c r="N33" i="4"/>
  <c r="N41" i="4"/>
  <c r="F101" i="2"/>
  <c r="N28" i="4"/>
  <c r="N30" i="4"/>
  <c r="N32" i="4"/>
  <c r="N34" i="4"/>
  <c r="N36" i="4"/>
  <c r="N38" i="4"/>
  <c r="N40" i="4"/>
  <c r="N42" i="4"/>
  <c r="N44" i="4"/>
  <c r="K85" i="7" l="1"/>
  <c r="I85" i="7"/>
  <c r="C67" i="7"/>
  <c r="L85" i="7"/>
  <c r="D12" i="4"/>
  <c r="E67" i="7"/>
  <c r="E71" i="7"/>
  <c r="J12" i="4"/>
  <c r="J56" i="4"/>
  <c r="E44" i="7" s="1"/>
  <c r="G96" i="2"/>
  <c r="C12" i="5" s="1"/>
  <c r="C13" i="5" s="1"/>
  <c r="D21" i="5"/>
  <c r="D24" i="5"/>
  <c r="D29" i="5" s="1"/>
  <c r="D25" i="5"/>
  <c r="J16" i="4" s="1"/>
  <c r="C7" i="2"/>
  <c r="E6" i="2"/>
  <c r="D6" i="2"/>
  <c r="N47" i="4"/>
  <c r="I31" i="4" s="1"/>
  <c r="I94" i="7" s="1"/>
  <c r="F102" i="2"/>
  <c r="G79" i="7" l="1"/>
  <c r="J79" i="7"/>
  <c r="E73" i="7"/>
  <c r="G87" i="7" s="1"/>
  <c r="J18" i="4" a="1"/>
  <c r="J18" i="4" s="1"/>
  <c r="G85" i="7" s="1"/>
  <c r="D7" i="2"/>
  <c r="C8" i="2"/>
  <c r="E7" i="2"/>
  <c r="H50" i="4" l="1"/>
  <c r="C9" i="2"/>
  <c r="E8" i="2"/>
  <c r="D8" i="2"/>
  <c r="D9" i="2" l="1"/>
  <c r="C10" i="2"/>
  <c r="E9" i="2"/>
  <c r="G81" i="7" l="1"/>
  <c r="C11" i="2"/>
  <c r="E10" i="2"/>
  <c r="D10" i="2"/>
  <c r="H6" i="4"/>
  <c r="J14" i="4"/>
  <c r="G48" i="4" s="1"/>
  <c r="H49" i="4"/>
  <c r="G49" i="4"/>
  <c r="D11" i="2" l="1"/>
  <c r="C12" i="2"/>
  <c r="E11" i="2"/>
  <c r="C13" i="2" l="1"/>
  <c r="E12" i="2"/>
  <c r="D12" i="2"/>
  <c r="D13" i="2" l="1"/>
  <c r="C14" i="2"/>
  <c r="E13" i="2"/>
  <c r="C15" i="2" l="1"/>
  <c r="E14" i="2"/>
  <c r="D14" i="2"/>
  <c r="D15" i="2" l="1"/>
  <c r="C16" i="2"/>
  <c r="E15" i="2"/>
  <c r="C17" i="2" l="1"/>
  <c r="E16" i="2"/>
  <c r="D16" i="2"/>
  <c r="D17" i="2" l="1"/>
  <c r="C18" i="2"/>
  <c r="E17" i="2"/>
  <c r="C19" i="2" l="1"/>
  <c r="E18" i="2"/>
  <c r="D18" i="2"/>
  <c r="D19" i="2" l="1"/>
  <c r="C20" i="2"/>
  <c r="E19" i="2"/>
  <c r="C21" i="2" l="1"/>
  <c r="E20" i="2"/>
  <c r="D20" i="2"/>
  <c r="D21" i="2" l="1"/>
  <c r="C22" i="2"/>
  <c r="E21" i="2"/>
  <c r="C23" i="2" l="1"/>
  <c r="E22" i="2"/>
  <c r="D22" i="2"/>
  <c r="D23" i="2" l="1"/>
  <c r="C24" i="2"/>
  <c r="E23" i="2"/>
  <c r="C25" i="2" l="1"/>
  <c r="E24" i="2"/>
  <c r="D24" i="2"/>
  <c r="D25" i="2" l="1"/>
  <c r="C26" i="2"/>
  <c r="E25" i="2"/>
  <c r="C27" i="2" l="1"/>
  <c r="E26" i="2"/>
  <c r="D26" i="2"/>
  <c r="D27" i="2" l="1"/>
  <c r="C28" i="2"/>
  <c r="E27" i="2"/>
  <c r="C29" i="2" l="1"/>
  <c r="E28" i="2"/>
  <c r="D28" i="2"/>
  <c r="D29" i="2" l="1"/>
  <c r="C30" i="2"/>
  <c r="E29" i="2"/>
  <c r="C31" i="2" l="1"/>
  <c r="E30" i="2"/>
  <c r="D30" i="2"/>
  <c r="D31" i="2" l="1"/>
  <c r="C32" i="2"/>
  <c r="E31" i="2"/>
  <c r="C33" i="2" l="1"/>
  <c r="E32" i="2"/>
  <c r="D32" i="2"/>
  <c r="D33" i="2" l="1"/>
  <c r="C34" i="2"/>
  <c r="E33" i="2"/>
  <c r="C35" i="2" l="1"/>
  <c r="E34" i="2"/>
  <c r="D34" i="2"/>
  <c r="D35" i="2" l="1"/>
  <c r="C36" i="2"/>
  <c r="E35" i="2"/>
  <c r="C37" i="2" l="1"/>
  <c r="E36" i="2"/>
  <c r="D36" i="2"/>
  <c r="D37" i="2" l="1"/>
  <c r="C38" i="2"/>
  <c r="E37" i="2"/>
  <c r="C39" i="2" l="1"/>
  <c r="E38" i="2"/>
  <c r="D38" i="2"/>
  <c r="D39" i="2" l="1"/>
  <c r="C40" i="2"/>
  <c r="E39" i="2"/>
  <c r="C41" i="2" l="1"/>
  <c r="E40" i="2"/>
  <c r="D40" i="2"/>
  <c r="D41" i="2" l="1"/>
  <c r="C42" i="2"/>
  <c r="E41" i="2"/>
  <c r="C43" i="2" l="1"/>
  <c r="E42" i="2"/>
  <c r="D42" i="2"/>
  <c r="D43" i="2" l="1"/>
  <c r="C44" i="2"/>
  <c r="E43" i="2"/>
  <c r="C45" i="2" l="1"/>
  <c r="E44" i="2"/>
  <c r="D44" i="2"/>
  <c r="D45" i="2" l="1"/>
  <c r="C46" i="2"/>
  <c r="E45" i="2"/>
  <c r="C47" i="2" l="1"/>
  <c r="E46" i="2"/>
  <c r="D46" i="2"/>
  <c r="D47" i="2" l="1"/>
  <c r="C48" i="2"/>
  <c r="E47" i="2"/>
  <c r="C49" i="2" l="1"/>
  <c r="E48" i="2"/>
  <c r="D48" i="2"/>
  <c r="D49" i="2" l="1"/>
  <c r="C50" i="2"/>
  <c r="E49" i="2"/>
  <c r="C51" i="2" l="1"/>
  <c r="E50" i="2"/>
  <c r="D50" i="2"/>
  <c r="D51" i="2" l="1"/>
  <c r="C52" i="2"/>
  <c r="E51" i="2"/>
  <c r="C53" i="2" l="1"/>
  <c r="E52" i="2"/>
  <c r="D52" i="2"/>
  <c r="D53" i="2" l="1"/>
  <c r="C54" i="2"/>
  <c r="E53" i="2"/>
  <c r="C55" i="2" l="1"/>
  <c r="E54" i="2"/>
  <c r="D54" i="2"/>
  <c r="D55" i="2" l="1"/>
  <c r="C56" i="2"/>
  <c r="E55" i="2"/>
  <c r="C57" i="2" l="1"/>
  <c r="E56" i="2"/>
  <c r="D56" i="2"/>
  <c r="D57" i="2" l="1"/>
  <c r="C58" i="2"/>
  <c r="E57" i="2"/>
  <c r="C59" i="2" l="1"/>
  <c r="E58" i="2"/>
  <c r="D58" i="2"/>
  <c r="D59" i="2" l="1"/>
  <c r="C60" i="2"/>
  <c r="E59" i="2"/>
  <c r="C61" i="2" l="1"/>
  <c r="E60" i="2"/>
  <c r="D60" i="2"/>
  <c r="D61" i="2" l="1"/>
  <c r="C62" i="2"/>
  <c r="E61" i="2"/>
  <c r="C63" i="2" l="1"/>
  <c r="E62" i="2"/>
  <c r="D62" i="2"/>
  <c r="D63" i="2" l="1"/>
  <c r="E63" i="2"/>
  <c r="J41" i="1" l="1"/>
  <c r="J40" i="1"/>
  <c r="J42" i="1"/>
  <c r="J44" i="1" l="1"/>
  <c r="D32" i="5" s="1"/>
  <c r="J81" i="7" l="1"/>
  <c r="G83" i="7" s="1"/>
  <c r="D31" i="5"/>
  <c r="D33" i="5" l="1"/>
  <c r="D15" i="5"/>
  <c r="D12" i="5"/>
  <c r="D13" i="5" s="1"/>
  <c r="E14" i="5" l="1"/>
  <c r="E16" i="5" s="1"/>
  <c r="E34" i="5" s="1"/>
  <c r="D14" i="5"/>
  <c r="D16" i="5" s="1"/>
  <c r="J6" i="4" s="1"/>
  <c r="D34" i="5" l="1"/>
  <c r="O27" i="4" s="1"/>
  <c r="O28" i="4" s="1"/>
  <c r="O29" i="4" s="1"/>
  <c r="O30" i="4" s="1"/>
  <c r="O31" i="4" s="1"/>
  <c r="O32" i="4" s="1"/>
  <c r="O33" i="4" s="1"/>
  <c r="O34" i="4" s="1"/>
  <c r="O35" i="4" s="1"/>
  <c r="O36" i="4" s="1"/>
  <c r="O37" i="4" s="1"/>
  <c r="O38" i="4" s="1"/>
  <c r="O39" i="4" s="1"/>
  <c r="O40" i="4" s="1"/>
  <c r="O41" i="4" s="1"/>
  <c r="O42" i="4" s="1"/>
  <c r="O43" i="4" s="1"/>
  <c r="O44" i="4" s="1"/>
  <c r="O45" i="4" s="1"/>
  <c r="O46" i="4" s="1"/>
  <c r="L26" i="4" l="1"/>
  <c r="L27" i="4" l="1"/>
  <c r="L28" i="4" l="1"/>
  <c r="L29" i="4" l="1"/>
  <c r="L30" i="4" l="1"/>
  <c r="L31" i="4" l="1"/>
  <c r="L32" i="4"/>
  <c r="L33" i="4" l="1"/>
  <c r="L34" i="4"/>
  <c r="L35" i="4" l="1"/>
  <c r="L36" i="4" l="1"/>
  <c r="L37" i="4" l="1"/>
  <c r="L38" i="4"/>
  <c r="L39" i="4" l="1"/>
  <c r="L40" i="4" l="1"/>
  <c r="L41" i="4" l="1"/>
  <c r="L42" i="4" l="1"/>
  <c r="L43" i="4" l="1"/>
  <c r="L44" i="4" l="1"/>
  <c r="L45" i="4" l="1"/>
  <c r="O47" i="4" l="1"/>
  <c r="I25" i="4" s="1"/>
  <c r="G93" i="7" s="1"/>
  <c r="L46" i="4" l="1"/>
  <c r="E25" i="4" s="1"/>
  <c r="K91" i="7" s="1"/>
  <c r="G25" i="4"/>
  <c r="F93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Beickler</author>
    <author>User</author>
    <author>Beickler</author>
  </authors>
  <commentList>
    <comment ref="J4" authorId="0" shapeId="0" xr:uid="{00000000-0006-0000-0100-000001000000}">
      <text>
        <r>
          <rPr>
            <sz val="9"/>
            <color rgb="FF000000"/>
            <rFont val="Segoe UI"/>
            <family val="2"/>
            <charset val="1"/>
          </rPr>
          <t>aus SunnyDesign/Ergebnisse/Ausgabe Seite 1 oder 2</t>
        </r>
      </text>
    </comment>
    <comment ref="J10" authorId="0" shapeId="0" xr:uid="{00000000-0006-0000-0100-000002000000}">
      <text>
        <r>
          <rPr>
            <sz val="9"/>
            <color rgb="FF000000"/>
            <rFont val="Segoe UI"/>
            <family val="2"/>
            <charset val="1"/>
          </rPr>
          <t xml:space="preserve">aus SunnyDesign/Ergebnisse/Ausgabe Seite 1 oder 2
</t>
        </r>
      </text>
    </comment>
    <comment ref="J12" authorId="0" shapeId="0" xr:uid="{00000000-0006-0000-0100-000003000000}">
      <text>
        <r>
          <rPr>
            <sz val="9"/>
            <color rgb="FF000000"/>
            <rFont val="Segoe UI"/>
            <family val="2"/>
            <charset val="1"/>
          </rPr>
          <t xml:space="preserve"> aus SunnyDesign/Ergebnisse/Ausgabe Seite 1 oder 2
</t>
        </r>
      </text>
    </comment>
    <comment ref="J14" authorId="0" shapeId="0" xr:uid="{00000000-0006-0000-0100-000004000000}">
      <text>
        <r>
          <rPr>
            <b/>
            <sz val="9"/>
            <color rgb="FF000000"/>
            <rFont val="Segoe UI"/>
            <family val="2"/>
            <charset val="1"/>
          </rPr>
          <t>"Netzbezug"</t>
        </r>
        <r>
          <rPr>
            <sz val="9"/>
            <color rgb="FF000000"/>
            <rFont val="Segoe UI"/>
            <family val="2"/>
            <charset val="1"/>
          </rPr>
          <t xml:space="preserve"> aus SunnyDesign/Ergebnisse/Ausgabe
</t>
        </r>
        <r>
          <rPr>
            <sz val="9"/>
            <color rgb="FF000000"/>
            <rFont val="Segoe UI"/>
            <family val="2"/>
            <charset val="1"/>
          </rPr>
          <t xml:space="preserve">ab Seite 6 unter "Eigenverbrauch (Strom)" </t>
        </r>
      </text>
    </comment>
    <comment ref="J21" authorId="0" shapeId="0" xr:uid="{00000000-0006-0000-0100-000005000000}">
      <text>
        <r>
          <rPr>
            <b/>
            <sz val="9"/>
            <color rgb="FF000000"/>
            <rFont val="Segoe UI"/>
            <family val="2"/>
            <charset val="1"/>
          </rPr>
          <t>Mit WP:</t>
        </r>
        <r>
          <rPr>
            <sz val="9"/>
            <color rgb="FF000000"/>
            <rFont val="Segoe UI"/>
            <family val="2"/>
            <charset val="1"/>
          </rPr>
          <t xml:space="preserve"> aus SunnyDesign ab Seite 6
</t>
        </r>
        <r>
          <rPr>
            <sz val="9"/>
            <color rgb="FF000000"/>
            <rFont val="Segoe UI"/>
            <family val="2"/>
            <charset val="1"/>
          </rPr>
          <t xml:space="preserve">unter "Spez. Verbraucher"
</t>
        </r>
        <r>
          <rPr>
            <b/>
            <sz val="9"/>
            <color rgb="FF000000"/>
            <rFont val="Segoe UI"/>
            <family val="2"/>
            <charset val="1"/>
          </rPr>
          <t>Ohne WP:</t>
        </r>
        <r>
          <rPr>
            <sz val="9"/>
            <color rgb="FF000000"/>
            <rFont val="Segoe UI"/>
            <family val="2"/>
            <charset val="1"/>
          </rPr>
          <t xml:space="preserve"> Hier 0 eingeben
</t>
        </r>
      </text>
    </comment>
    <comment ref="J23" authorId="1" shapeId="0" xr:uid="{00000000-0006-0000-0100-000006000000}">
      <text>
        <r>
          <rPr>
            <b/>
            <sz val="9"/>
            <color rgb="FF000000"/>
            <rFont val="Segoe UI"/>
            <family val="2"/>
            <charset val="1"/>
          </rPr>
          <t>Mit WP:</t>
        </r>
        <r>
          <rPr>
            <sz val="9"/>
            <color rgb="FF000000"/>
            <rFont val="Segoe UI"/>
            <family val="2"/>
            <charset val="1"/>
          </rPr>
          <t xml:space="preserve"> aus SunnyDesign ab Seite 6
</t>
        </r>
        <r>
          <rPr>
            <sz val="9"/>
            <color rgb="FF000000"/>
            <rFont val="Segoe UI"/>
            <family val="2"/>
            <charset val="1"/>
          </rPr>
          <t xml:space="preserve">unter "Spez. Verbraucher"
</t>
        </r>
        <r>
          <rPr>
            <b/>
            <sz val="9"/>
            <color rgb="FF000000"/>
            <rFont val="Segoe UI"/>
            <family val="2"/>
            <charset val="1"/>
          </rPr>
          <t>Ohne WP:</t>
        </r>
        <r>
          <rPr>
            <sz val="9"/>
            <color rgb="FF000000"/>
            <rFont val="Segoe UI"/>
            <family val="2"/>
            <charset val="1"/>
          </rPr>
          <t xml:space="preserve"> Hier 0 eingeben</t>
        </r>
      </text>
    </comment>
    <comment ref="J28" authorId="2" shapeId="0" xr:uid="{74B903E1-E98C-41EE-9EE4-7DDCFE80165D}">
      <text>
        <r>
          <rPr>
            <sz val="9"/>
            <color rgb="FF000000"/>
            <rFont val="Segoe UI"/>
            <family val="2"/>
            <charset val="1"/>
          </rPr>
          <t xml:space="preserve">Strompreis immer netto eingeben.
</t>
        </r>
        <r>
          <rPr>
            <sz val="9"/>
            <color rgb="FF000000"/>
            <rFont val="Segoe UI"/>
            <family val="2"/>
            <charset val="1"/>
          </rPr>
          <t>Bei Anlagen kleiner 30 kWp rechnet der Algorithmus in der Überschussrechnung automatisch in Bruttopreise um.</t>
        </r>
      </text>
    </comment>
    <comment ref="J30" authorId="2" shapeId="0" xr:uid="{7204CF8E-B521-4CC9-9624-69EF5AFC05EB}">
      <text>
        <r>
          <rPr>
            <sz val="9"/>
            <color rgb="FF000000"/>
            <rFont val="Segoe UI"/>
            <family val="2"/>
            <charset val="1"/>
          </rPr>
          <t xml:space="preserve">Strompreis immer netto eingeben.
</t>
        </r>
        <r>
          <rPr>
            <sz val="9"/>
            <color rgb="FF000000"/>
            <rFont val="Segoe UI"/>
            <family val="2"/>
            <charset val="1"/>
          </rPr>
          <t>Bei Anlagen kleiner 30 kWp rechnet der Algorithmus in der Überschussrechnung automatisch in Bruttopreise um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Beickler</author>
  </authors>
  <commentList>
    <comment ref="C24" authorId="0" shapeId="0" xr:uid="{00000000-0006-0000-0400-000001000000}">
      <text>
        <r>
          <rPr>
            <b/>
            <sz val="9"/>
            <color indexed="81"/>
            <rFont val="Segoe UI"/>
            <family val="2"/>
          </rPr>
          <t>Martin Beickler:
Mit WP mind. 40%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<sst xmlns="http://schemas.openxmlformats.org/spreadsheetml/2006/main" count="375" uniqueCount="287">
  <si>
    <t>[kWp]</t>
  </si>
  <si>
    <t>Degradation der Anlage pro Jahr</t>
  </si>
  <si>
    <t>[%/a]</t>
  </si>
  <si>
    <r>
      <t>[kWh/kWp</t>
    </r>
    <r>
      <rPr>
        <sz val="11"/>
        <color theme="1"/>
        <rFont val="Calibri"/>
        <family val="2"/>
      </rPr>
      <t>∙</t>
    </r>
    <r>
      <rPr>
        <sz val="11"/>
        <color theme="1"/>
        <rFont val="Arial"/>
        <family val="2"/>
      </rPr>
      <t>a]</t>
    </r>
  </si>
  <si>
    <t>Eingaben</t>
  </si>
  <si>
    <t>[%]</t>
  </si>
  <si>
    <t>Stromverbraucher</t>
  </si>
  <si>
    <t>[kWh/a]</t>
  </si>
  <si>
    <t>Preise und Vergütungen</t>
  </si>
  <si>
    <t>[ct/kWh]</t>
  </si>
  <si>
    <t>Jährliche Strompreissteigerung</t>
  </si>
  <si>
    <t>No</t>
  </si>
  <si>
    <t>Jahr</t>
  </si>
  <si>
    <t>Monat</t>
  </si>
  <si>
    <t>&lt; 10 kWp</t>
  </si>
  <si>
    <t>10 - 40 kWp</t>
  </si>
  <si>
    <t>40 - 750 kWp</t>
  </si>
  <si>
    <t>Inbetriebnahme</t>
  </si>
  <si>
    <t>[dd.mm.JJJJ]</t>
  </si>
  <si>
    <t>Speicherkapazität des Akkus</t>
  </si>
  <si>
    <t>[kWh]</t>
  </si>
  <si>
    <t>Konfiguration der elektrischen Verbraucher</t>
  </si>
  <si>
    <t>Investitionskosten</t>
  </si>
  <si>
    <t>[€]</t>
  </si>
  <si>
    <t>[€/kWp]</t>
  </si>
  <si>
    <t>Betriebskosten</t>
  </si>
  <si>
    <t>Auswahl des Steuermodells</t>
  </si>
  <si>
    <t>[€/kWh]</t>
  </si>
  <si>
    <t>Regel</t>
  </si>
  <si>
    <t>Switch</t>
  </si>
  <si>
    <t>KU</t>
  </si>
  <si>
    <t>Steuermodell</t>
  </si>
  <si>
    <t>[€/a]</t>
  </si>
  <si>
    <t>[-]</t>
  </si>
  <si>
    <t>Status</t>
  </si>
  <si>
    <t>Gewählte Konfiguration</t>
  </si>
  <si>
    <t>Eigenverbrauch</t>
  </si>
  <si>
    <t>x</t>
  </si>
  <si>
    <t>Kaufpreis</t>
  </si>
  <si>
    <t>Benziner/Diesel</t>
  </si>
  <si>
    <t>Preis pro Liter Benzin/Diesel [€]</t>
  </si>
  <si>
    <t>Monatsmiete der Batterie [€/M]</t>
  </si>
  <si>
    <t>[€/l]</t>
  </si>
  <si>
    <t>Ø</t>
  </si>
  <si>
    <t>Benzinpreissteigerungen 20a</t>
  </si>
  <si>
    <t>[€/100 km]</t>
  </si>
  <si>
    <t>[l/100 km]</t>
  </si>
  <si>
    <t>davon über Nacht……</t>
  </si>
  <si>
    <t>davon tagsüber………</t>
  </si>
  <si>
    <t>Tank-/Ladekosten pro 100 km [€]</t>
  </si>
  <si>
    <t>Tank-/Ladekosten im Jahr [€/a]</t>
  </si>
  <si>
    <t>Kosten an der Ladesäule</t>
  </si>
  <si>
    <t>Kosten Netzbezug zuhause</t>
  </si>
  <si>
    <t>Ø Einspeisevergütung</t>
  </si>
  <si>
    <t>Amortisationsrechnung</t>
  </si>
  <si>
    <t>Ertrag</t>
  </si>
  <si>
    <t>Kontostand</t>
  </si>
  <si>
    <t>Zinssatz für den Investor</t>
  </si>
  <si>
    <t>[p.a]</t>
  </si>
  <si>
    <t>Zinssatz für den Gewinn</t>
  </si>
  <si>
    <t>Jahre</t>
  </si>
  <si>
    <t>Energiebilanzen</t>
  </si>
  <si>
    <t>Spezifische Erzeugungskosten</t>
  </si>
  <si>
    <t>Eingaben und Konfigurationen</t>
  </si>
  <si>
    <t>Ausgabefelder mit hinterlegten Formeln</t>
  </si>
  <si>
    <t>Info Feldfarben und ihre Bedeutung:</t>
  </si>
  <si>
    <t>Eingabefeld allgemein</t>
  </si>
  <si>
    <t>Zinssatz für den Investor p.a</t>
  </si>
  <si>
    <t>Übersicht Ergebnisse</t>
  </si>
  <si>
    <t>Datenbank</t>
  </si>
  <si>
    <t>Anteil</t>
  </si>
  <si>
    <t>Marken</t>
  </si>
  <si>
    <t>Anteile der EEG-Einspeisevergütungen</t>
  </si>
  <si>
    <t>Daten einpflegen</t>
  </si>
  <si>
    <t>Verbrauch</t>
  </si>
  <si>
    <t>[to/a]</t>
  </si>
  <si>
    <t>Listenfeld mit Auswahl</t>
  </si>
  <si>
    <t>Eingabefeld für Daten aus "SunnyDesign"</t>
  </si>
  <si>
    <t>PV-Leistung</t>
  </si>
  <si>
    <t>Spez. Energieertrag (Strom-Ertrag)</t>
  </si>
  <si>
    <t>Strompreis EVU Haushalt (netto)</t>
  </si>
  <si>
    <t>Spez. Investitionskosten Speicher, Zubehör und Installation (netto)</t>
  </si>
  <si>
    <t>Netzeinspeisung</t>
  </si>
  <si>
    <t>Netzbezug</t>
  </si>
  <si>
    <t>Randbedingungen für die Investitionsrechnung (Eingabe unter "Ergebnisse")</t>
  </si>
  <si>
    <t>Zinssatz für den Gewinn p.a</t>
  </si>
  <si>
    <t>Jährlicher Stromverbrauch Laden von E-Autos zuhause</t>
  </si>
  <si>
    <t>Wichtige Ergebnisse</t>
  </si>
  <si>
    <t>Einsparungen</t>
  </si>
  <si>
    <t>Eigenverbr. Quote</t>
  </si>
  <si>
    <t>Jährlicher Stromverbrauch Haushalt (ohne E-Auto und ohne Wärmepumpe)</t>
  </si>
  <si>
    <t>© MetropolSolar</t>
  </si>
  <si>
    <t>Alle Angaben, Berechnungen und Ergebnisse ohne Gewähr</t>
  </si>
  <si>
    <t>BürgerSolarKalkulator</t>
  </si>
  <si>
    <t>Amortisation nach</t>
  </si>
  <si>
    <r>
      <t xml:space="preserve">Jährlicher Stromverbrauch </t>
    </r>
    <r>
      <rPr>
        <b/>
        <sz val="11"/>
        <color rgb="FFFF0000"/>
        <rFont val="Arial"/>
        <family val="2"/>
      </rPr>
      <t>Wärmepumpe</t>
    </r>
  </si>
  <si>
    <r>
      <t xml:space="preserve">Strompreis EVU </t>
    </r>
    <r>
      <rPr>
        <b/>
        <sz val="11"/>
        <color rgb="FFFF0000"/>
        <rFont val="Arial"/>
        <family val="2"/>
      </rPr>
      <t>Wärmepumpe</t>
    </r>
    <r>
      <rPr>
        <sz val="11"/>
        <color theme="1"/>
        <rFont val="Arial"/>
        <family val="2"/>
      </rPr>
      <t xml:space="preserve"> (netto)</t>
    </r>
  </si>
  <si>
    <t>Gesetzliche Mehrwertsteuer</t>
  </si>
  <si>
    <t>Vorteile E-Auto bei Steuern + Wartung + THG-Quote [€/a]</t>
  </si>
  <si>
    <t>Datum</t>
  </si>
  <si>
    <t>Revision</t>
  </si>
  <si>
    <t>Änderungsgrund</t>
  </si>
  <si>
    <t>Kommentar</t>
  </si>
  <si>
    <t>Autor</t>
  </si>
  <si>
    <t>Dokumenthistorie</t>
  </si>
  <si>
    <t>BürgerSolarBeratung:</t>
  </si>
  <si>
    <t>Projektdaten</t>
  </si>
  <si>
    <t>Tel.:</t>
  </si>
  <si>
    <t>e.mail:</t>
  </si>
  <si>
    <t>Max Mustermann</t>
  </si>
  <si>
    <t>Interessent/Betreiber:</t>
  </si>
  <si>
    <t>Anschrift/Straße:</t>
  </si>
  <si>
    <t>Solarstr.35</t>
  </si>
  <si>
    <t>PLZ/Ort:</t>
  </si>
  <si>
    <t>Wp</t>
  </si>
  <si>
    <t>Modulleistung:</t>
  </si>
  <si>
    <t>Anzahl</t>
  </si>
  <si>
    <t>Die vorgeschlagene Anlage hat eine Leistung von</t>
  </si>
  <si>
    <t xml:space="preserve">Das Laden eines E-Autos (Ladeverhalten s.u.) </t>
  </si>
  <si>
    <t>Die Unterstützung einer Wärmepumpe für Heizung und WW</t>
  </si>
  <si>
    <t>Kommentare</t>
  </si>
  <si>
    <t>Projektausgabeblatt 1</t>
  </si>
  <si>
    <t>Projektausgabeblatt 2</t>
  </si>
  <si>
    <t>Wir erstellen unsere Prognosen nach bestem Wissen und Gewissen auf Basis aktueller Marktdaten. Da wir bei unseren</t>
  </si>
  <si>
    <t>Berechnungen auch Daten aus externen Quellen verwenden, können wir keine Haftung für diese Prognose übernehmen.</t>
  </si>
  <si>
    <t>2 Erwachsene (1 berufstätig), 2 Kinder</t>
  </si>
  <si>
    <t>kWh/a</t>
  </si>
  <si>
    <t>Sie vermeiden rund</t>
  </si>
  <si>
    <t>E-Mobilität:</t>
  </si>
  <si>
    <t>Strombedarfsprofil:</t>
  </si>
  <si>
    <t>Wärmepumpe:</t>
  </si>
  <si>
    <t>Der Jahresertrag der PV-Anlage beträgt</t>
  </si>
  <si>
    <t>Davon nutzen Sie selbst direkt</t>
  </si>
  <si>
    <t>oder</t>
  </si>
  <si>
    <t>des Jahresertrags.</t>
  </si>
  <si>
    <t>wird für</t>
  </si>
  <si>
    <t>Dafür erhalten Sie eine Vergütung von</t>
  </si>
  <si>
    <t>Gesamtstrombedarf</t>
  </si>
  <si>
    <t>(Direkt nutzbarer PV-Strom / Gesamtstrombedarf)</t>
  </si>
  <si>
    <t>Nach 20 Jahren haben Sie einen</t>
  </si>
  <si>
    <t>zu verbuchen.</t>
  </si>
  <si>
    <t>Die spezifischen Stromerzeugungskosten Ihrer PV-Anlage betragen</t>
  </si>
  <si>
    <t>Allgemeine Randbedingungen und Informationen</t>
  </si>
  <si>
    <t>Strompreis für Haushaltsstrom</t>
  </si>
  <si>
    <t>ct/kWh</t>
  </si>
  <si>
    <t>Strompreis für Wärmepumpe</t>
  </si>
  <si>
    <t>Strompreissteigerungen</t>
  </si>
  <si>
    <t>Betriebskosten PV-Anlage</t>
  </si>
  <si>
    <t>(1,5% von Investitionskosten)</t>
  </si>
  <si>
    <t>Zählerschaltung der Wärmepumpe</t>
  </si>
  <si>
    <t>Alexander Di Bella</t>
  </si>
  <si>
    <t>Zuhause</t>
  </si>
  <si>
    <t>Solarstrom.</t>
  </si>
  <si>
    <t>Wenn noch Fragen auftauchen, können Sie sich natürlich an Ihren Berater wenden.</t>
  </si>
  <si>
    <t>Viel Erfolg bei Ihrer persönlichen Energiewende!!</t>
  </si>
  <si>
    <t>BSB-Tool-2022_05_08</t>
  </si>
  <si>
    <t>Grafik Gebäude</t>
  </si>
  <si>
    <t>vertraulich und gibt sie nicht an Dritte weiter.</t>
  </si>
  <si>
    <t>Für die Berechnung dieser Prognose hat Ihr Berater persönliche Daten von Ihnen verwendet. Er behandelt diese absolut</t>
  </si>
  <si>
    <r>
      <t>to CO</t>
    </r>
    <r>
      <rPr>
        <vertAlign val="subscript"/>
        <sz val="12"/>
        <color theme="1"/>
        <rFont val="Arial"/>
        <family val="2"/>
      </rPr>
      <t>2</t>
    </r>
    <r>
      <rPr>
        <sz val="12"/>
        <color theme="1"/>
        <rFont val="Arial"/>
        <family val="2"/>
      </rPr>
      <t xml:space="preserve"> pro Jahr.</t>
    </r>
  </si>
  <si>
    <r>
      <rPr>
        <b/>
        <sz val="12"/>
        <color theme="4"/>
        <rFont val="Arial"/>
        <family val="2"/>
      </rPr>
      <t>extern</t>
    </r>
    <r>
      <rPr>
        <sz val="12"/>
        <color theme="1"/>
        <rFont val="Arial"/>
        <family val="2"/>
      </rPr>
      <t>, zu</t>
    </r>
  </si>
  <si>
    <t>1. Dekade</t>
  </si>
  <si>
    <t>2. Dekade</t>
  </si>
  <si>
    <t>Ihr(e) Berater:</t>
  </si>
  <si>
    <t>Die Investition beträgt</t>
  </si>
  <si>
    <t>Der jährliche Stromertrag der PV-Anlage beträgt etwa</t>
  </si>
  <si>
    <t>Gerechnet wurde</t>
  </si>
  <si>
    <t>Jahre.</t>
  </si>
  <si>
    <t xml:space="preserve">Sie erwirtschaften dabei eine Rendite von </t>
  </si>
  <si>
    <t>Auf Basis der aktuellen Rahmenbedingungen beträgt die Amortisationszeit (Investitionsrückzahlung)</t>
  </si>
  <si>
    <t>Neigung        [°]</t>
  </si>
  <si>
    <t>Flächen- beschreibung</t>
  </si>
  <si>
    <t>Gaube</t>
  </si>
  <si>
    <t>Garage</t>
  </si>
  <si>
    <t>Flächen</t>
  </si>
  <si>
    <t>Eintragung möglicher PV-Flächen</t>
  </si>
  <si>
    <t xml:space="preserve">Aus dem Netz beziehen Sie </t>
  </si>
  <si>
    <t>+45</t>
  </si>
  <si>
    <t>Winkel gg. Süd [°]</t>
  </si>
  <si>
    <t>+15</t>
  </si>
  <si>
    <t>+25</t>
  </si>
  <si>
    <t>+35</t>
  </si>
  <si>
    <t>+60</t>
  </si>
  <si>
    <t>+90</t>
  </si>
  <si>
    <t>Azimut [°]</t>
  </si>
  <si>
    <t>Ausrichtung geg. Süd</t>
  </si>
  <si>
    <t>Ihr Eigennutzungsgrad (Autarkiegrad) beträgt</t>
  </si>
  <si>
    <t>Süddach</t>
  </si>
  <si>
    <t>Erweiterung Ausgabeblätter, BSB-Standort/-Mitarbeiter, Revision</t>
  </si>
  <si>
    <t>Überarbeitung Ausgabeblätter, E-Mobilität mit 2 Dekaden</t>
  </si>
  <si>
    <t>Alexander Di Bella, Martin Beickler</t>
  </si>
  <si>
    <t>evtl. Druckereinstellungen anpassen!</t>
  </si>
  <si>
    <t>kWh.</t>
  </si>
  <si>
    <t>Das E-Auto wird geladen zu…..</t>
  </si>
  <si>
    <t>des gesamten jährlichen Ladestroms stammt von der eigenen PV-Anlage.</t>
  </si>
  <si>
    <t>und dort mit</t>
  </si>
  <si>
    <t>Maximale Verzinsung für Investor  p.a</t>
  </si>
  <si>
    <t>Bensheim</t>
  </si>
  <si>
    <t>xxxxxx</t>
  </si>
  <si>
    <t>xxxxxx - 1234587</t>
  </si>
  <si>
    <t>BSB-Tool-2022_06_03</t>
  </si>
  <si>
    <t>BSB-Tool-2022_08_09</t>
  </si>
  <si>
    <t>Neue Einspeisevergütungen, Basisversion für BSB-Tool-VE</t>
  </si>
  <si>
    <t>Anpassungen wegen neuem EEG von 2022</t>
  </si>
  <si>
    <t>Ostdach</t>
  </si>
  <si>
    <t>Westdach</t>
  </si>
  <si>
    <t>Anbaudach</t>
  </si>
  <si>
    <t>Flachdach</t>
  </si>
  <si>
    <t>Investitionskosten Gesamt (netto)</t>
  </si>
  <si>
    <t xml:space="preserve">netto (incl. Material, Einbau, Gerüst). </t>
  </si>
  <si>
    <t>Solarer Deckungsgrad Wärmepumpenstrom</t>
  </si>
  <si>
    <t>Eigenverbrauchsquote</t>
  </si>
  <si>
    <t>Gesamter Netzbezug</t>
  </si>
  <si>
    <t>BSB-Tool-2022_09_29</t>
  </si>
  <si>
    <t>Sonnensteuer gestrichen, WP vereinfacht</t>
  </si>
  <si>
    <t>WP ohne zweifachen SunnyDesign-Datensatz</t>
  </si>
  <si>
    <t>Martin Beickler</t>
  </si>
  <si>
    <t>Überarbeitung Eingabe- und Ausgabeblätter bzw. Entfernung diverser Eingabesheets</t>
  </si>
  <si>
    <t>Rollmenüs u. Sheets "Berater" bzw. "Standorte" entfernen, obsolete Zeilen (EEG etc.) entfernen</t>
  </si>
  <si>
    <t>EEG-Einspeisevergütungen</t>
  </si>
  <si>
    <t>(Diagramm von SunnyDesign )</t>
  </si>
  <si>
    <t>BSB-Tool-2022_11_03</t>
  </si>
  <si>
    <t>BSB-Tool-2022_11_29</t>
  </si>
  <si>
    <t>Keine Berechnung und Anzeige Speicherverluste</t>
  </si>
  <si>
    <t>Bei Hybrid-WR unklare Datenlage bei SunnyDesign</t>
  </si>
  <si>
    <t xml:space="preserve">Der überschüssige PV-Strom von </t>
  </si>
  <si>
    <t>Ohne Gewähr:</t>
  </si>
  <si>
    <t>Um Beratungen der BSB jetzt schon zu ermöglichen, wurde der Algorithmus nach besten Wissen vorläufig angepasst.</t>
  </si>
  <si>
    <r>
      <rPr>
        <b/>
        <sz val="16"/>
        <color rgb="FFFF0000"/>
        <rFont val="Arial"/>
        <family val="2"/>
      </rPr>
      <t>Vorsicht:</t>
    </r>
    <r>
      <rPr>
        <sz val="16"/>
        <color rgb="FFFF0000"/>
        <rFont val="Arial"/>
        <family val="2"/>
      </rPr>
      <t xml:space="preserve"> Bei Erweiterungen von Altanlagen sollte zuvor ein Steuerberater hinzugezogen werden.</t>
    </r>
  </si>
  <si>
    <t>Sobald die Anwendungshinweise des Finanzministeriums vorliegen, wird eine Überarbeitung des BSB-Tools vorgenommen.</t>
  </si>
  <si>
    <t>https://www.bundesfinanzministerium.de/Content/DE/FAQ/foerderung-photovoltaikanlagen.html</t>
  </si>
  <si>
    <t xml:space="preserve">Informationen (FAQ) auch unter: </t>
  </si>
  <si>
    <t>und Verpflichtung zur Regelbesteuerung mit Folgen bei Umsatzsteuer und Ertragsteuer.</t>
  </si>
  <si>
    <t>xxx</t>
  </si>
  <si>
    <t>Spezifische Ergebnisse Stromerzeugung (gerundet)</t>
  </si>
  <si>
    <t>Wirtschaftlichkeit (Ergebnisse gerundet)</t>
  </si>
  <si>
    <t>€ pro Jahr.</t>
  </si>
  <si>
    <t>(netto)</t>
  </si>
  <si>
    <t>% pro Jahr.</t>
  </si>
  <si>
    <r>
      <t xml:space="preserve">Grundgebühr EVU für </t>
    </r>
    <r>
      <rPr>
        <b/>
        <sz val="11"/>
        <color rgb="FFFF0000"/>
        <rFont val="Arial"/>
        <family val="2"/>
      </rPr>
      <t>Wärmepumpen</t>
    </r>
    <r>
      <rPr>
        <sz val="11"/>
        <color theme="1"/>
        <rFont val="Arial"/>
        <family val="2"/>
      </rPr>
      <t>betrieb</t>
    </r>
  </si>
  <si>
    <t>Speicherverluste bei Hybrid-WR rechnerisch = 0</t>
  </si>
  <si>
    <t>BSB-Tool-2023_02_01</t>
  </si>
  <si>
    <t>Neues Steuergesetz, bei String-WR Angabe des Speicherverlusts</t>
  </si>
  <si>
    <t>-1</t>
  </si>
  <si>
    <t>Energie-Ertrag pro Monat</t>
  </si>
  <si>
    <t>Betriebskosten ohne Zusatzkosten/Förderung, Korrektur des  Preises solaren Ladestroms bei Anlagen unter 30kWp</t>
  </si>
  <si>
    <t>ct/kWh verkauft.</t>
  </si>
  <si>
    <t>€ pro Jahr</t>
  </si>
  <si>
    <t>% pro Jahr</t>
  </si>
  <si>
    <t>Eingaben E-Mobilität</t>
  </si>
  <si>
    <t>Vergleich Benziner/Diesel versus E-Mobilität</t>
  </si>
  <si>
    <t>E-Auto</t>
  </si>
  <si>
    <t>Preissteigerung Benzin/Diesel [p.a.]</t>
  </si>
  <si>
    <t>Anteil der Betankung mit Solarstrom [%]</t>
  </si>
  <si>
    <t>Vorteile E-Auto bei jährl. Betriebskosten (Gesamt), li 1.Dekade, re 2. Dekade</t>
  </si>
  <si>
    <t>Vorteile E-Auto  jährl. bei teilweisem Laden mit Solarstrom</t>
  </si>
  <si>
    <t>Vorteile E-Auto bei jährl. Betriebskosten (Fall 1 bzw. 2), li 1. Dekade, re 2.Dekade</t>
  </si>
  <si>
    <t>Stromverbrauch E-Mobilität [kWh/a]</t>
  </si>
  <si>
    <t>Aufladen des E-Autos extern [%]</t>
  </si>
  <si>
    <t>Aufladen des E-Autos zuhause [%]</t>
  </si>
  <si>
    <t>Jährliche Fahrleistung [km]</t>
  </si>
  <si>
    <t>Verbrauch pro 100 km [l] bzw. [kWh]</t>
  </si>
  <si>
    <t>Bei Aufladung des E-Autos zuhause tagsüber</t>
  </si>
  <si>
    <t>Kosten aus PV-Erzeugung</t>
  </si>
  <si>
    <t>verlorene EEG-Vergütung…..</t>
  </si>
  <si>
    <t>Jährliche Einsparung durch E-Mobilität (s. Schalter in Eingaben)</t>
  </si>
  <si>
    <t>davon Netzbezug…….</t>
  </si>
  <si>
    <t>davon Solarstrom…….</t>
  </si>
  <si>
    <t>Wert solarer Ladestrom…......</t>
  </si>
  <si>
    <t>Nennleistung der PV-Anlage</t>
  </si>
  <si>
    <t>bis 10 kWp</t>
  </si>
  <si>
    <t>von 10 bis 40 kWp</t>
  </si>
  <si>
    <t>von 40 bis 750 kWp</t>
  </si>
  <si>
    <t>PV-Anlage:</t>
  </si>
  <si>
    <t>Seit dem 01.01.2023 gilt ein neues Steuergesetz mit geänderten Regelungen zur PV.</t>
  </si>
  <si>
    <t>Bei Überschreitung der Gesamtleistung von 30 kWp droht der Verlust einer bestehenden Kleinunternehmerregelung</t>
  </si>
  <si>
    <t>Technische Daten der PV-Anlage</t>
  </si>
  <si>
    <t>Inbetriebnahme der PV-Anlage</t>
  </si>
  <si>
    <t>EEG-Einspeisevergütung für</t>
  </si>
  <si>
    <t>Spez. Investitionskosten PV-Module, Zubehör und Installation (netto)</t>
  </si>
  <si>
    <t>Zusatzkosten (+) / Fördermittel (-)</t>
  </si>
  <si>
    <t>Betriebskosten 1,5% von Investitionskosten (ohne Zusatzkosten / Fördermittel)</t>
  </si>
  <si>
    <t>E-Auto berücksichtigen</t>
  </si>
  <si>
    <t>Jährlicher Stromertrag des PV-Systems</t>
  </si>
  <si>
    <r>
      <t>Jährliche CO</t>
    </r>
    <r>
      <rPr>
        <b/>
        <vertAlign val="subscript"/>
        <sz val="12"/>
        <color theme="1"/>
        <rFont val="Arial"/>
        <family val="2"/>
      </rPr>
      <t>2</t>
    </r>
    <r>
      <rPr>
        <b/>
        <sz val="12"/>
        <color theme="1"/>
        <rFont val="Arial"/>
        <family val="2"/>
      </rPr>
      <t>-Einsparung</t>
    </r>
  </si>
  <si>
    <t>BSB-Tool-2023_03_24</t>
  </si>
  <si>
    <t>Keine Reparaturrücklage für Zusatzkosten/Förderung notwendig, Betriebskosten in der Tabelle korrigiert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</si>
</sst>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0"/>
    <numFmt numFmtId="165" formatCode="0.0"/>
    <numFmt numFmtId="166" formatCode="0.0%"/>
    <numFmt numFmtId="167" formatCode="#,##0.0"/>
    <numFmt numFmtId="168" formatCode="#,##0\ &quot;€&quot;"/>
    <numFmt numFmtId="169" formatCode="#,##0.00\ &quot;€&quot;"/>
    <numFmt numFmtId="170" formatCode="#,##0.000"/>
  </numFmts>
  <fonts count="47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Calibri"/>
      <family val="2"/>
    </font>
    <font>
      <sz val="11"/>
      <color rgb="FF0000FF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i/>
      <sz val="11"/>
      <color theme="1"/>
      <name val="Arial"/>
      <family val="2"/>
    </font>
    <font>
      <b/>
      <sz val="11"/>
      <color rgb="FF0000FF"/>
      <name val="Arial"/>
      <family val="2"/>
    </font>
    <font>
      <sz val="12"/>
      <color rgb="FF0000FF"/>
      <name val="Arial"/>
      <family val="2"/>
    </font>
    <font>
      <b/>
      <sz val="12"/>
      <color rgb="FF0000FF"/>
      <name val="Arial"/>
      <family val="2"/>
    </font>
    <font>
      <b/>
      <sz val="16"/>
      <color theme="4"/>
      <name val="Arial"/>
      <family val="2"/>
    </font>
    <font>
      <b/>
      <u/>
      <sz val="11"/>
      <color theme="1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sz val="10"/>
      <color theme="1"/>
      <name val="Arial"/>
      <family val="2"/>
    </font>
    <font>
      <b/>
      <vertAlign val="subscript"/>
      <sz val="12"/>
      <color theme="1"/>
      <name val="Arial"/>
      <family val="2"/>
    </font>
    <font>
      <sz val="10"/>
      <name val="Arial"/>
      <family val="2"/>
    </font>
    <font>
      <sz val="10"/>
      <name val="Calibri"/>
      <family val="2"/>
      <scheme val="minor"/>
    </font>
    <font>
      <b/>
      <sz val="16"/>
      <color theme="4"/>
      <name val="Calibri"/>
      <family val="2"/>
      <scheme val="minor"/>
    </font>
    <font>
      <i/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b/>
      <sz val="11"/>
      <color rgb="FFFF0000"/>
      <name val="Arial"/>
      <family val="2"/>
    </font>
    <font>
      <sz val="11"/>
      <color rgb="FFFF0000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Arial"/>
      <family val="2"/>
    </font>
    <font>
      <vertAlign val="subscript"/>
      <sz val="12"/>
      <color theme="1"/>
      <name val="Arial"/>
      <family val="2"/>
    </font>
    <font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b/>
      <sz val="16"/>
      <color theme="1"/>
      <name val="Arial"/>
      <family val="2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rgb="FFFF0000"/>
      <name val="Arial"/>
      <family val="2"/>
    </font>
    <font>
      <sz val="16"/>
      <color theme="1"/>
      <name val="Arial"/>
      <family val="2"/>
    </font>
    <font>
      <b/>
      <sz val="16"/>
      <color rgb="FFFF0000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u/>
      <sz val="14"/>
      <color theme="10"/>
      <name val="Calibri"/>
      <family val="2"/>
      <scheme val="minor"/>
    </font>
    <font>
      <sz val="8"/>
      <color rgb="FF000000"/>
      <name val="Segoe UI"/>
      <charset val="1"/>
    </font>
    <font>
      <sz val="9"/>
      <color rgb="FF000000"/>
      <name val="Segoe UI"/>
      <family val="2"/>
      <charset val="1"/>
    </font>
    <font>
      <b/>
      <sz val="9"/>
      <color rgb="FF000000"/>
      <name val="Segoe UI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FFFFEB"/>
        <bgColor indexed="64"/>
      </patternFill>
    </fill>
    <fill>
      <gradientFill degree="90">
        <stop position="0">
          <color theme="0"/>
        </stop>
        <stop position="1">
          <color theme="9" tint="0.80001220740379042"/>
        </stop>
      </gradientFill>
    </fill>
    <fill>
      <patternFill patternType="solid">
        <fgColor rgb="FFF8F8F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gradientFill degree="90">
        <stop position="0">
          <color theme="0"/>
        </stop>
        <stop position="1">
          <color theme="7" tint="0.80001220740379042"/>
        </stop>
      </gradientFill>
    </fill>
    <fill>
      <patternFill patternType="solid">
        <fgColor theme="9" tint="0.79998168889431442"/>
        <bgColor indexed="64"/>
      </patternFill>
    </fill>
    <fill>
      <patternFill patternType="solid">
        <fgColor rgb="FFFEFFDD"/>
        <bgColor indexed="64"/>
      </patternFill>
    </fill>
  </fills>
  <borders count="90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/>
      <bottom style="thick">
        <color auto="1"/>
      </bottom>
      <diagonal/>
    </border>
    <border>
      <left style="hair">
        <color auto="1"/>
      </left>
      <right style="hair">
        <color auto="1"/>
      </right>
      <top/>
      <bottom style="thick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/>
      <right style="medium">
        <color auto="1"/>
      </right>
      <top/>
      <bottom style="hair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 style="medium">
        <color theme="0" tint="-0.24994659260841701"/>
      </right>
      <top style="medium">
        <color theme="0" tint="-0.24994659260841701"/>
      </top>
      <bottom/>
      <diagonal/>
    </border>
    <border>
      <left style="medium">
        <color theme="0" tint="-0.24994659260841701"/>
      </left>
      <right/>
      <top/>
      <bottom/>
      <diagonal/>
    </border>
    <border>
      <left/>
      <right style="medium">
        <color theme="0" tint="-0.24994659260841701"/>
      </right>
      <top/>
      <bottom/>
      <diagonal/>
    </border>
    <border>
      <left style="medium">
        <color theme="0" tint="-0.24994659260841701"/>
      </left>
      <right/>
      <top/>
      <bottom style="medium">
        <color theme="0" tint="-0.24994659260841701"/>
      </bottom>
      <diagonal/>
    </border>
    <border>
      <left/>
      <right style="medium">
        <color theme="0" tint="-0.24994659260841701"/>
      </right>
      <top/>
      <bottom style="medium">
        <color theme="0" tint="-0.24994659260841701"/>
      </bottom>
      <diagonal/>
    </border>
    <border>
      <left style="hair">
        <color auto="1"/>
      </left>
      <right style="medium">
        <color auto="1"/>
      </right>
      <top/>
      <bottom style="thick">
        <color auto="1"/>
      </bottom>
      <diagonal/>
    </border>
    <border>
      <left style="hair">
        <color auto="1"/>
      </left>
      <right style="medium">
        <color auto="1"/>
      </right>
      <top style="thick">
        <color auto="1"/>
      </top>
      <bottom style="hair">
        <color auto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medium">
        <color theme="0" tint="-0.24994659260841701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medium">
        <color auto="1"/>
      </right>
      <top style="hair">
        <color auto="1"/>
      </top>
      <bottom/>
      <diagonal/>
    </border>
  </borders>
  <cellStyleXfs count="3">
    <xf numFmtId="0" fontId="0" fillId="0" borderId="0"/>
    <xf numFmtId="0" fontId="30" fillId="0" borderId="0" applyNumberFormat="0" applyFill="0" applyBorder="0" applyAlignment="0" applyProtection="0"/>
    <xf numFmtId="9" fontId="37" fillId="0" borderId="0" applyFont="0" applyFill="0" applyBorder="0" applyAlignment="0" applyProtection="0"/>
  </cellStyleXfs>
  <cellXfs count="415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1" xfId="0" applyFont="1" applyBorder="1" applyAlignment="1">
      <alignment horizontal="left" indent="1"/>
    </xf>
    <xf numFmtId="0" fontId="1" fillId="0" borderId="1" xfId="0" applyFont="1" applyBorder="1" applyAlignment="1">
      <alignment horizontal="center"/>
    </xf>
    <xf numFmtId="0" fontId="1" fillId="0" borderId="7" xfId="0" applyFont="1" applyBorder="1"/>
    <xf numFmtId="0" fontId="1" fillId="0" borderId="7" xfId="0" applyFont="1" applyBorder="1" applyAlignment="1">
      <alignment horizontal="left" indent="1"/>
    </xf>
    <xf numFmtId="0" fontId="1" fillId="0" borderId="7" xfId="0" applyFont="1" applyBorder="1" applyAlignment="1">
      <alignment horizontal="center"/>
    </xf>
    <xf numFmtId="4" fontId="1" fillId="0" borderId="7" xfId="0" applyNumberFormat="1" applyFont="1" applyBorder="1"/>
    <xf numFmtId="164" fontId="2" fillId="3" borderId="1" xfId="0" applyNumberFormat="1" applyFont="1" applyFill="1" applyBorder="1" applyAlignment="1">
      <alignment horizontal="center"/>
    </xf>
    <xf numFmtId="0" fontId="1" fillId="3" borderId="1" xfId="0" applyFont="1" applyFill="1" applyBorder="1"/>
    <xf numFmtId="0" fontId="2" fillId="3" borderId="1" xfId="0" applyFont="1" applyFill="1" applyBorder="1" applyAlignment="1">
      <alignment horizontal="center"/>
    </xf>
    <xf numFmtId="164" fontId="2" fillId="3" borderId="3" xfId="0" applyNumberFormat="1" applyFont="1" applyFill="1" applyBorder="1" applyAlignment="1">
      <alignment horizontal="center"/>
    </xf>
    <xf numFmtId="0" fontId="1" fillId="3" borderId="3" xfId="0" applyFont="1" applyFill="1" applyBorder="1"/>
    <xf numFmtId="0" fontId="2" fillId="3" borderId="3" xfId="0" applyFont="1" applyFill="1" applyBorder="1" applyAlignment="1">
      <alignment horizontal="center"/>
    </xf>
    <xf numFmtId="0" fontId="1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14" fontId="1" fillId="0" borderId="14" xfId="0" applyNumberFormat="1" applyFont="1" applyBorder="1" applyAlignment="1">
      <alignment horizontal="center"/>
    </xf>
    <xf numFmtId="14" fontId="1" fillId="0" borderId="15" xfId="0" applyNumberFormat="1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164" fontId="1" fillId="0" borderId="12" xfId="0" applyNumberFormat="1" applyFont="1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0" fontId="1" fillId="0" borderId="3" xfId="0" applyFont="1" applyBorder="1"/>
    <xf numFmtId="0" fontId="2" fillId="4" borderId="17" xfId="0" applyFont="1" applyFill="1" applyBorder="1" applyAlignment="1">
      <alignment horizontal="center"/>
    </xf>
    <xf numFmtId="0" fontId="2" fillId="4" borderId="18" xfId="0" applyFont="1" applyFill="1" applyBorder="1"/>
    <xf numFmtId="0" fontId="2" fillId="4" borderId="18" xfId="0" applyFont="1" applyFill="1" applyBorder="1" applyAlignment="1">
      <alignment horizontal="center"/>
    </xf>
    <xf numFmtId="0" fontId="1" fillId="0" borderId="21" xfId="0" applyFont="1" applyBorder="1"/>
    <xf numFmtId="4" fontId="1" fillId="0" borderId="0" xfId="0" applyNumberFormat="1" applyFont="1"/>
    <xf numFmtId="10" fontId="1" fillId="0" borderId="0" xfId="0" applyNumberFormat="1" applyFont="1"/>
    <xf numFmtId="0" fontId="1" fillId="0" borderId="0" xfId="0" applyFont="1" applyAlignment="1">
      <alignment horizontal="left" indent="1"/>
    </xf>
    <xf numFmtId="0" fontId="1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1" xfId="0" applyFont="1" applyBorder="1" applyAlignment="1">
      <alignment horizontal="left" indent="1"/>
    </xf>
    <xf numFmtId="2" fontId="4" fillId="4" borderId="1" xfId="0" applyNumberFormat="1" applyFont="1" applyFill="1" applyBorder="1"/>
    <xf numFmtId="2" fontId="4" fillId="4" borderId="11" xfId="0" applyNumberFormat="1" applyFont="1" applyFill="1" applyBorder="1"/>
    <xf numFmtId="0" fontId="1" fillId="0" borderId="22" xfId="0" applyFont="1" applyBorder="1"/>
    <xf numFmtId="164" fontId="5" fillId="3" borderId="3" xfId="0" applyNumberFormat="1" applyFont="1" applyFill="1" applyBorder="1" applyAlignment="1">
      <alignment horizontal="center"/>
    </xf>
    <xf numFmtId="0" fontId="5" fillId="3" borderId="3" xfId="0" applyFont="1" applyFill="1" applyBorder="1" applyAlignment="1">
      <alignment horizontal="left" indent="1"/>
    </xf>
    <xf numFmtId="164" fontId="5" fillId="3" borderId="1" xfId="0" applyNumberFormat="1" applyFont="1" applyFill="1" applyBorder="1" applyAlignment="1">
      <alignment horizontal="center"/>
    </xf>
    <xf numFmtId="0" fontId="5" fillId="3" borderId="1" xfId="0" applyFont="1" applyFill="1" applyBorder="1" applyAlignment="1">
      <alignment horizontal="left" indent="1"/>
    </xf>
    <xf numFmtId="0" fontId="5" fillId="3" borderId="1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3" fontId="4" fillId="4" borderId="1" xfId="0" applyNumberFormat="1" applyFont="1" applyFill="1" applyBorder="1"/>
    <xf numFmtId="0" fontId="1" fillId="0" borderId="25" xfId="0" applyFont="1" applyBorder="1"/>
    <xf numFmtId="0" fontId="1" fillId="0" borderId="26" xfId="0" applyFont="1" applyBorder="1"/>
    <xf numFmtId="164" fontId="1" fillId="0" borderId="24" xfId="0" applyNumberFormat="1" applyFont="1" applyBorder="1" applyAlignment="1">
      <alignment horizontal="center"/>
    </xf>
    <xf numFmtId="0" fontId="1" fillId="0" borderId="20" xfId="0" applyFont="1" applyBorder="1"/>
    <xf numFmtId="0" fontId="1" fillId="0" borderId="28" xfId="0" applyFont="1" applyBorder="1"/>
    <xf numFmtId="0" fontId="1" fillId="6" borderId="10" xfId="0" applyFont="1" applyFill="1" applyBorder="1"/>
    <xf numFmtId="0" fontId="1" fillId="6" borderId="27" xfId="0" applyFont="1" applyFill="1" applyBorder="1"/>
    <xf numFmtId="0" fontId="1" fillId="6" borderId="22" xfId="0" applyFont="1" applyFill="1" applyBorder="1"/>
    <xf numFmtId="164" fontId="1" fillId="0" borderId="31" xfId="0" applyNumberFormat="1" applyFont="1" applyBorder="1" applyAlignment="1">
      <alignment horizontal="center"/>
    </xf>
    <xf numFmtId="0" fontId="1" fillId="0" borderId="32" xfId="0" applyFont="1" applyBorder="1"/>
    <xf numFmtId="0" fontId="1" fillId="0" borderId="33" xfId="0" applyFont="1" applyBorder="1"/>
    <xf numFmtId="0" fontId="1" fillId="0" borderId="35" xfId="0" applyFont="1" applyBorder="1"/>
    <xf numFmtId="0" fontId="2" fillId="6" borderId="23" xfId="0" applyFont="1" applyFill="1" applyBorder="1" applyAlignment="1">
      <alignment horizontal="center"/>
    </xf>
    <xf numFmtId="0" fontId="2" fillId="6" borderId="29" xfId="0" applyFont="1" applyFill="1" applyBorder="1" applyAlignment="1">
      <alignment horizontal="center"/>
    </xf>
    <xf numFmtId="0" fontId="1" fillId="0" borderId="8" xfId="0" applyFont="1" applyBorder="1"/>
    <xf numFmtId="0" fontId="5" fillId="0" borderId="1" xfId="0" applyFont="1" applyBorder="1"/>
    <xf numFmtId="0" fontId="1" fillId="0" borderId="1" xfId="0" applyFont="1" applyBorder="1" applyAlignment="1">
      <alignment vertical="center"/>
    </xf>
    <xf numFmtId="0" fontId="1" fillId="0" borderId="37" xfId="0" applyFont="1" applyBorder="1"/>
    <xf numFmtId="0" fontId="4" fillId="4" borderId="1" xfId="0" applyFont="1" applyFill="1" applyBorder="1" applyAlignment="1">
      <alignment horizontal="center"/>
    </xf>
    <xf numFmtId="0" fontId="6" fillId="0" borderId="0" xfId="0" applyFont="1"/>
    <xf numFmtId="3" fontId="6" fillId="0" borderId="0" xfId="0" applyNumberFormat="1" applyFont="1"/>
    <xf numFmtId="0" fontId="6" fillId="0" borderId="0" xfId="0" applyFont="1" applyAlignment="1">
      <alignment horizontal="center"/>
    </xf>
    <xf numFmtId="0" fontId="5" fillId="0" borderId="0" xfId="0" applyFont="1"/>
    <xf numFmtId="0" fontId="5" fillId="8" borderId="3" xfId="0" applyFont="1" applyFill="1" applyBorder="1" applyAlignment="1">
      <alignment horizontal="center"/>
    </xf>
    <xf numFmtId="0" fontId="5" fillId="8" borderId="3" xfId="0" applyFont="1" applyFill="1" applyBorder="1"/>
    <xf numFmtId="0" fontId="1" fillId="8" borderId="3" xfId="0" applyFont="1" applyFill="1" applyBorder="1"/>
    <xf numFmtId="0" fontId="1" fillId="8" borderId="0" xfId="0" applyFont="1" applyFill="1"/>
    <xf numFmtId="0" fontId="5" fillId="8" borderId="0" xfId="0" applyFont="1" applyFill="1" applyAlignment="1">
      <alignment horizontal="center"/>
    </xf>
    <xf numFmtId="0" fontId="5" fillId="8" borderId="0" xfId="0" applyFont="1" applyFill="1"/>
    <xf numFmtId="0" fontId="1" fillId="0" borderId="5" xfId="0" applyFont="1" applyBorder="1" applyAlignment="1">
      <alignment horizontal="left" indent="1"/>
    </xf>
    <xf numFmtId="0" fontId="1" fillId="0" borderId="29" xfId="0" applyFont="1" applyBorder="1" applyAlignment="1">
      <alignment horizontal="center"/>
    </xf>
    <xf numFmtId="0" fontId="1" fillId="0" borderId="21" xfId="0" applyFont="1" applyBorder="1" applyAlignment="1">
      <alignment horizontal="left" indent="1"/>
    </xf>
    <xf numFmtId="0" fontId="1" fillId="0" borderId="30" xfId="0" applyFont="1" applyBorder="1"/>
    <xf numFmtId="0" fontId="1" fillId="0" borderId="15" xfId="0" applyFont="1" applyBorder="1"/>
    <xf numFmtId="0" fontId="1" fillId="0" borderId="38" xfId="0" applyFont="1" applyBorder="1" applyAlignment="1">
      <alignment horizontal="left" indent="1"/>
    </xf>
    <xf numFmtId="0" fontId="1" fillId="4" borderId="9" xfId="0" applyFont="1" applyFill="1" applyBorder="1"/>
    <xf numFmtId="0" fontId="2" fillId="4" borderId="29" xfId="0" applyFont="1" applyFill="1" applyBorder="1" applyAlignment="1">
      <alignment horizontal="center"/>
    </xf>
    <xf numFmtId="0" fontId="9" fillId="4" borderId="29" xfId="0" applyFont="1" applyFill="1" applyBorder="1" applyAlignment="1">
      <alignment horizontal="center"/>
    </xf>
    <xf numFmtId="0" fontId="9" fillId="4" borderId="39" xfId="0" applyFont="1" applyFill="1" applyBorder="1" applyAlignment="1">
      <alignment horizontal="center"/>
    </xf>
    <xf numFmtId="0" fontId="1" fillId="0" borderId="41" xfId="0" applyFont="1" applyBorder="1"/>
    <xf numFmtId="0" fontId="1" fillId="0" borderId="42" xfId="0" applyFont="1" applyBorder="1" applyAlignment="1">
      <alignment horizontal="left" indent="1"/>
    </xf>
    <xf numFmtId="0" fontId="1" fillId="0" borderId="34" xfId="0" applyFont="1" applyBorder="1"/>
    <xf numFmtId="0" fontId="1" fillId="0" borderId="29" xfId="0" applyFont="1" applyBorder="1"/>
    <xf numFmtId="0" fontId="1" fillId="0" borderId="47" xfId="0" applyFont="1" applyBorder="1"/>
    <xf numFmtId="2" fontId="4" fillId="0" borderId="47" xfId="0" applyNumberFormat="1" applyFont="1" applyBorder="1"/>
    <xf numFmtId="0" fontId="2" fillId="0" borderId="47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2" fillId="4" borderId="23" xfId="0" applyFont="1" applyFill="1" applyBorder="1" applyAlignment="1">
      <alignment horizontal="center"/>
    </xf>
    <xf numFmtId="0" fontId="2" fillId="4" borderId="10" xfId="0" applyFont="1" applyFill="1" applyBorder="1"/>
    <xf numFmtId="0" fontId="2" fillId="4" borderId="22" xfId="0" applyFont="1" applyFill="1" applyBorder="1"/>
    <xf numFmtId="3" fontId="4" fillId="0" borderId="15" xfId="0" applyNumberFormat="1" applyFont="1" applyBorder="1"/>
    <xf numFmtId="0" fontId="1" fillId="0" borderId="48" xfId="0" applyFont="1" applyBorder="1" applyAlignment="1">
      <alignment horizontal="left" indent="1"/>
    </xf>
    <xf numFmtId="0" fontId="1" fillId="0" borderId="16" xfId="0" applyFont="1" applyBorder="1"/>
    <xf numFmtId="0" fontId="1" fillId="0" borderId="49" xfId="0" applyFont="1" applyBorder="1"/>
    <xf numFmtId="0" fontId="1" fillId="0" borderId="50" xfId="0" applyFont="1" applyBorder="1" applyAlignment="1">
      <alignment horizontal="left" indent="1"/>
    </xf>
    <xf numFmtId="0" fontId="1" fillId="0" borderId="5" xfId="0" applyFont="1" applyBorder="1" applyAlignment="1">
      <alignment horizontal="right"/>
    </xf>
    <xf numFmtId="0" fontId="1" fillId="0" borderId="44" xfId="0" applyFont="1" applyBorder="1"/>
    <xf numFmtId="0" fontId="1" fillId="0" borderId="46" xfId="0" applyFont="1" applyBorder="1" applyAlignment="1">
      <alignment horizontal="center"/>
    </xf>
    <xf numFmtId="0" fontId="1" fillId="0" borderId="45" xfId="0" applyFont="1" applyBorder="1" applyAlignment="1">
      <alignment horizontal="center"/>
    </xf>
    <xf numFmtId="0" fontId="1" fillId="0" borderId="23" xfId="0" applyFont="1" applyBorder="1" applyAlignment="1">
      <alignment horizontal="right"/>
    </xf>
    <xf numFmtId="0" fontId="1" fillId="0" borderId="2" xfId="0" applyFont="1" applyBorder="1" applyAlignment="1">
      <alignment horizontal="left" indent="1"/>
    </xf>
    <xf numFmtId="0" fontId="1" fillId="0" borderId="40" xfId="0" applyFont="1" applyBorder="1"/>
    <xf numFmtId="0" fontId="1" fillId="0" borderId="9" xfId="0" applyFont="1" applyBorder="1" applyAlignment="1">
      <alignment horizontal="right"/>
    </xf>
    <xf numFmtId="0" fontId="1" fillId="0" borderId="36" xfId="0" applyFont="1" applyBorder="1"/>
    <xf numFmtId="0" fontId="6" fillId="0" borderId="6" xfId="0" applyFont="1" applyBorder="1"/>
    <xf numFmtId="0" fontId="1" fillId="0" borderId="37" xfId="0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2" fillId="0" borderId="1" xfId="0" applyFont="1" applyBorder="1"/>
    <xf numFmtId="0" fontId="6" fillId="0" borderId="11" xfId="0" applyFont="1" applyBorder="1"/>
    <xf numFmtId="0" fontId="4" fillId="0" borderId="30" xfId="0" applyFont="1" applyBorder="1"/>
    <xf numFmtId="3" fontId="4" fillId="0" borderId="37" xfId="0" applyNumberFormat="1" applyFont="1" applyBorder="1"/>
    <xf numFmtId="4" fontId="2" fillId="0" borderId="0" xfId="0" applyNumberFormat="1" applyFont="1" applyAlignment="1">
      <alignment horizontal="center"/>
    </xf>
    <xf numFmtId="0" fontId="1" fillId="0" borderId="51" xfId="0" applyFont="1" applyBorder="1"/>
    <xf numFmtId="0" fontId="6" fillId="0" borderId="5" xfId="0" applyFont="1" applyBorder="1"/>
    <xf numFmtId="3" fontId="1" fillId="5" borderId="15" xfId="0" applyNumberFormat="1" applyFont="1" applyFill="1" applyBorder="1" applyAlignment="1">
      <alignment horizontal="center"/>
    </xf>
    <xf numFmtId="2" fontId="4" fillId="4" borderId="15" xfId="0" applyNumberFormat="1" applyFont="1" applyFill="1" applyBorder="1" applyAlignment="1">
      <alignment horizontal="center"/>
    </xf>
    <xf numFmtId="3" fontId="1" fillId="7" borderId="15" xfId="0" applyNumberFormat="1" applyFont="1" applyFill="1" applyBorder="1" applyAlignment="1">
      <alignment horizontal="center"/>
    </xf>
    <xf numFmtId="4" fontId="1" fillId="2" borderId="15" xfId="0" applyNumberFormat="1" applyFont="1" applyFill="1" applyBorder="1" applyAlignment="1">
      <alignment horizontal="center"/>
    </xf>
    <xf numFmtId="0" fontId="2" fillId="0" borderId="21" xfId="0" applyFont="1" applyBorder="1" applyAlignment="1">
      <alignment horizontal="left" indent="1"/>
    </xf>
    <xf numFmtId="0" fontId="14" fillId="0" borderId="0" xfId="0" applyFont="1"/>
    <xf numFmtId="10" fontId="4" fillId="4" borderId="1" xfId="0" applyNumberFormat="1" applyFont="1" applyFill="1" applyBorder="1"/>
    <xf numFmtId="0" fontId="15" fillId="0" borderId="0" xfId="0" applyFont="1"/>
    <xf numFmtId="0" fontId="16" fillId="0" borderId="0" xfId="0" applyFont="1" applyAlignment="1">
      <alignment horizontal="left" indent="1"/>
    </xf>
    <xf numFmtId="0" fontId="1" fillId="0" borderId="53" xfId="0" applyFont="1" applyBorder="1"/>
    <xf numFmtId="0" fontId="1" fillId="0" borderId="54" xfId="0" applyFont="1" applyBorder="1"/>
    <xf numFmtId="0" fontId="1" fillId="0" borderId="55" xfId="0" applyFont="1" applyBorder="1"/>
    <xf numFmtId="0" fontId="1" fillId="0" borderId="56" xfId="0" applyFont="1" applyBorder="1"/>
    <xf numFmtId="0" fontId="1" fillId="0" borderId="57" xfId="0" applyFont="1" applyBorder="1"/>
    <xf numFmtId="0" fontId="1" fillId="0" borderId="58" xfId="0" applyFont="1" applyBorder="1"/>
    <xf numFmtId="0" fontId="16" fillId="0" borderId="0" xfId="0" applyFont="1"/>
    <xf numFmtId="0" fontId="2" fillId="4" borderId="59" xfId="0" applyFont="1" applyFill="1" applyBorder="1" applyAlignment="1">
      <alignment horizontal="center"/>
    </xf>
    <xf numFmtId="14" fontId="1" fillId="0" borderId="34" xfId="0" applyNumberFormat="1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2" fillId="6" borderId="34" xfId="0" applyFont="1" applyFill="1" applyBorder="1" applyAlignment="1">
      <alignment horizontal="center"/>
    </xf>
    <xf numFmtId="0" fontId="1" fillId="0" borderId="3" xfId="0" applyFont="1" applyBorder="1" applyAlignment="1">
      <alignment horizontal="left" indent="1"/>
    </xf>
    <xf numFmtId="3" fontId="1" fillId="0" borderId="0" xfId="0" applyNumberFormat="1" applyFont="1"/>
    <xf numFmtId="3" fontId="1" fillId="0" borderId="0" xfId="0" applyNumberFormat="1" applyFont="1" applyAlignment="1">
      <alignment horizontal="center"/>
    </xf>
    <xf numFmtId="0" fontId="2" fillId="0" borderId="0" xfId="0" applyFont="1" applyAlignment="1">
      <alignment horizontal="left" indent="1"/>
    </xf>
    <xf numFmtId="0" fontId="17" fillId="0" borderId="0" xfId="0" applyFont="1" applyAlignment="1">
      <alignment horizontal="center" wrapText="1"/>
    </xf>
    <xf numFmtId="0" fontId="17" fillId="0" borderId="0" xfId="0" applyFont="1" applyAlignment="1">
      <alignment horizontal="center"/>
    </xf>
    <xf numFmtId="3" fontId="2" fillId="0" borderId="0" xfId="0" applyNumberFormat="1" applyFont="1"/>
    <xf numFmtId="9" fontId="4" fillId="4" borderId="41" xfId="0" applyNumberFormat="1" applyFont="1" applyFill="1" applyBorder="1"/>
    <xf numFmtId="166" fontId="4" fillId="4" borderId="15" xfId="0" applyNumberFormat="1" applyFont="1" applyFill="1" applyBorder="1"/>
    <xf numFmtId="166" fontId="4" fillId="4" borderId="34" xfId="0" applyNumberFormat="1" applyFont="1" applyFill="1" applyBorder="1"/>
    <xf numFmtId="2" fontId="4" fillId="4" borderId="49" xfId="0" applyNumberFormat="1" applyFont="1" applyFill="1" applyBorder="1"/>
    <xf numFmtId="0" fontId="1" fillId="4" borderId="62" xfId="0" applyFont="1" applyFill="1" applyBorder="1"/>
    <xf numFmtId="0" fontId="5" fillId="4" borderId="62" xfId="0" applyFont="1" applyFill="1" applyBorder="1"/>
    <xf numFmtId="0" fontId="5" fillId="4" borderId="62" xfId="0" applyFont="1" applyFill="1" applyBorder="1" applyAlignment="1">
      <alignment horizontal="center"/>
    </xf>
    <xf numFmtId="2" fontId="12" fillId="4" borderId="62" xfId="0" applyNumberFormat="1" applyFont="1" applyFill="1" applyBorder="1"/>
    <xf numFmtId="0" fontId="1" fillId="4" borderId="61" xfId="0" applyFont="1" applyFill="1" applyBorder="1"/>
    <xf numFmtId="0" fontId="1" fillId="4" borderId="63" xfId="0" applyFont="1" applyFill="1" applyBorder="1"/>
    <xf numFmtId="0" fontId="6" fillId="0" borderId="1" xfId="0" applyFont="1" applyBorder="1"/>
    <xf numFmtId="0" fontId="2" fillId="0" borderId="6" xfId="0" applyFont="1" applyBorder="1" applyAlignment="1">
      <alignment horizontal="left" indent="1"/>
    </xf>
    <xf numFmtId="168" fontId="12" fillId="9" borderId="1" xfId="0" applyNumberFormat="1" applyFont="1" applyFill="1" applyBorder="1"/>
    <xf numFmtId="2" fontId="12" fillId="9" borderId="15" xfId="0" applyNumberFormat="1" applyFont="1" applyFill="1" applyBorder="1" applyAlignment="1">
      <alignment horizontal="center"/>
    </xf>
    <xf numFmtId="2" fontId="12" fillId="0" borderId="0" xfId="0" applyNumberFormat="1" applyFont="1" applyAlignment="1">
      <alignment horizontal="center"/>
    </xf>
    <xf numFmtId="168" fontId="4" fillId="4" borderId="41" xfId="0" applyNumberFormat="1" applyFont="1" applyFill="1" applyBorder="1"/>
    <xf numFmtId="168" fontId="4" fillId="4" borderId="43" xfId="0" applyNumberFormat="1" applyFont="1" applyFill="1" applyBorder="1"/>
    <xf numFmtId="169" fontId="4" fillId="4" borderId="41" xfId="0" applyNumberFormat="1" applyFont="1" applyFill="1" applyBorder="1"/>
    <xf numFmtId="169" fontId="4" fillId="4" borderId="15" xfId="0" applyNumberFormat="1" applyFont="1" applyFill="1" applyBorder="1"/>
    <xf numFmtId="168" fontId="4" fillId="4" borderId="15" xfId="0" applyNumberFormat="1" applyFont="1" applyFill="1" applyBorder="1"/>
    <xf numFmtId="168" fontId="4" fillId="4" borderId="46" xfId="0" applyNumberFormat="1" applyFont="1" applyFill="1" applyBorder="1"/>
    <xf numFmtId="168" fontId="4" fillId="4" borderId="49" xfId="0" applyNumberFormat="1" applyFont="1" applyFill="1" applyBorder="1"/>
    <xf numFmtId="168" fontId="4" fillId="4" borderId="39" xfId="0" applyNumberFormat="1" applyFont="1" applyFill="1" applyBorder="1"/>
    <xf numFmtId="168" fontId="10" fillId="4" borderId="46" xfId="0" applyNumberFormat="1" applyFont="1" applyFill="1" applyBorder="1"/>
    <xf numFmtId="3" fontId="4" fillId="4" borderId="11" xfId="0" applyNumberFormat="1" applyFont="1" applyFill="1" applyBorder="1"/>
    <xf numFmtId="0" fontId="5" fillId="0" borderId="1" xfId="0" applyFont="1" applyBorder="1" applyAlignment="1">
      <alignment horizontal="center"/>
    </xf>
    <xf numFmtId="0" fontId="5" fillId="0" borderId="51" xfId="0" applyFont="1" applyBorder="1" applyAlignment="1">
      <alignment horizontal="left" indent="1"/>
    </xf>
    <xf numFmtId="0" fontId="5" fillId="0" borderId="47" xfId="0" applyFont="1" applyBorder="1" applyAlignment="1">
      <alignment horizontal="center"/>
    </xf>
    <xf numFmtId="3" fontId="5" fillId="0" borderId="47" xfId="0" applyNumberFormat="1" applyFont="1" applyBorder="1"/>
    <xf numFmtId="168" fontId="5" fillId="0" borderId="47" xfId="0" applyNumberFormat="1" applyFont="1" applyBorder="1"/>
    <xf numFmtId="0" fontId="5" fillId="0" borderId="37" xfId="0" applyFont="1" applyBorder="1" applyAlignment="1">
      <alignment horizontal="center"/>
    </xf>
    <xf numFmtId="0" fontId="5" fillId="0" borderId="44" xfId="0" applyFont="1" applyBorder="1"/>
    <xf numFmtId="0" fontId="5" fillId="0" borderId="52" xfId="0" applyFont="1" applyBorder="1" applyAlignment="1">
      <alignment horizontal="right" indent="1"/>
    </xf>
    <xf numFmtId="0" fontId="5" fillId="0" borderId="21" xfId="0" applyFont="1" applyBorder="1" applyAlignment="1">
      <alignment horizontal="left" indent="1"/>
    </xf>
    <xf numFmtId="0" fontId="4" fillId="0" borderId="49" xfId="0" applyFont="1" applyBorder="1"/>
    <xf numFmtId="0" fontId="4" fillId="0" borderId="41" xfId="0" applyFont="1" applyBorder="1"/>
    <xf numFmtId="0" fontId="4" fillId="0" borderId="43" xfId="0" applyFont="1" applyBorder="1"/>
    <xf numFmtId="166" fontId="4" fillId="4" borderId="11" xfId="0" applyNumberFormat="1" applyFont="1" applyFill="1" applyBorder="1" applyAlignment="1">
      <alignment horizontal="center"/>
    </xf>
    <xf numFmtId="165" fontId="12" fillId="9" borderId="1" xfId="0" applyNumberFormat="1" applyFont="1" applyFill="1" applyBorder="1" applyAlignment="1">
      <alignment horizontal="center"/>
    </xf>
    <xf numFmtId="167" fontId="2" fillId="0" borderId="0" xfId="0" applyNumberFormat="1" applyFont="1" applyAlignment="1">
      <alignment horizontal="center"/>
    </xf>
    <xf numFmtId="0" fontId="1" fillId="0" borderId="64" xfId="0" applyFont="1" applyBorder="1"/>
    <xf numFmtId="0" fontId="1" fillId="0" borderId="65" xfId="0" applyFont="1" applyBorder="1"/>
    <xf numFmtId="0" fontId="17" fillId="0" borderId="10" xfId="0" applyFont="1" applyBorder="1" applyAlignment="1">
      <alignment horizontal="center"/>
    </xf>
    <xf numFmtId="4" fontId="1" fillId="2" borderId="1" xfId="0" applyNumberFormat="1" applyFont="1" applyFill="1" applyBorder="1" applyProtection="1">
      <protection locked="0"/>
    </xf>
    <xf numFmtId="10" fontId="1" fillId="2" borderId="1" xfId="0" applyNumberFormat="1" applyFont="1" applyFill="1" applyBorder="1" applyProtection="1">
      <protection locked="0"/>
    </xf>
    <xf numFmtId="3" fontId="1" fillId="7" borderId="1" xfId="0" applyNumberFormat="1" applyFont="1" applyFill="1" applyBorder="1" applyProtection="1">
      <protection locked="0"/>
    </xf>
    <xf numFmtId="166" fontId="1" fillId="7" borderId="1" xfId="0" applyNumberFormat="1" applyFont="1" applyFill="1" applyBorder="1" applyProtection="1">
      <protection locked="0"/>
    </xf>
    <xf numFmtId="3" fontId="1" fillId="2" borderId="1" xfId="0" applyNumberFormat="1" applyFont="1" applyFill="1" applyBorder="1" applyProtection="1">
      <protection locked="0"/>
    </xf>
    <xf numFmtId="166" fontId="1" fillId="2" borderId="1" xfId="0" applyNumberFormat="1" applyFont="1" applyFill="1" applyBorder="1" applyProtection="1">
      <protection locked="0"/>
    </xf>
    <xf numFmtId="0" fontId="7" fillId="0" borderId="1" xfId="0" applyFont="1" applyBorder="1" applyProtection="1">
      <protection locked="0"/>
    </xf>
    <xf numFmtId="0" fontId="7" fillId="0" borderId="16" xfId="0" applyFont="1" applyBorder="1" applyAlignment="1" applyProtection="1">
      <alignment horizontal="center"/>
      <protection locked="0"/>
    </xf>
    <xf numFmtId="166" fontId="12" fillId="9" borderId="1" xfId="0" applyNumberFormat="1" applyFont="1" applyFill="1" applyBorder="1" applyProtection="1">
      <protection locked="0"/>
    </xf>
    <xf numFmtId="168" fontId="1" fillId="2" borderId="30" xfId="0" applyNumberFormat="1" applyFont="1" applyFill="1" applyBorder="1" applyProtection="1">
      <protection locked="0"/>
    </xf>
    <xf numFmtId="165" fontId="1" fillId="2" borderId="15" xfId="0" applyNumberFormat="1" applyFont="1" applyFill="1" applyBorder="1" applyProtection="1">
      <protection locked="0"/>
    </xf>
    <xf numFmtId="169" fontId="1" fillId="2" borderId="15" xfId="0" applyNumberFormat="1" applyFont="1" applyFill="1" applyBorder="1" applyProtection="1">
      <protection locked="0"/>
    </xf>
    <xf numFmtId="166" fontId="1" fillId="2" borderId="15" xfId="0" applyNumberFormat="1" applyFont="1" applyFill="1" applyBorder="1" applyProtection="1">
      <protection locked="0"/>
    </xf>
    <xf numFmtId="168" fontId="1" fillId="2" borderId="40" xfId="0" applyNumberFormat="1" applyFont="1" applyFill="1" applyBorder="1" applyProtection="1">
      <protection locked="0"/>
    </xf>
    <xf numFmtId="165" fontId="1" fillId="2" borderId="41" xfId="0" applyNumberFormat="1" applyFont="1" applyFill="1" applyBorder="1" applyProtection="1">
      <protection locked="0"/>
    </xf>
    <xf numFmtId="168" fontId="1" fillId="2" borderId="41" xfId="0" applyNumberFormat="1" applyFont="1" applyFill="1" applyBorder="1" applyProtection="1">
      <protection locked="0"/>
    </xf>
    <xf numFmtId="3" fontId="1" fillId="2" borderId="15" xfId="0" applyNumberFormat="1" applyFont="1" applyFill="1" applyBorder="1" applyProtection="1">
      <protection locked="0"/>
    </xf>
    <xf numFmtId="4" fontId="1" fillId="2" borderId="40" xfId="0" applyNumberFormat="1" applyFont="1" applyFill="1" applyBorder="1" applyProtection="1">
      <protection locked="0"/>
    </xf>
    <xf numFmtId="0" fontId="1" fillId="2" borderId="30" xfId="0" applyFont="1" applyFill="1" applyBorder="1" applyProtection="1">
      <protection locked="0"/>
    </xf>
    <xf numFmtId="0" fontId="1" fillId="2" borderId="15" xfId="0" applyFont="1" applyFill="1" applyBorder="1" applyProtection="1">
      <protection locked="0"/>
    </xf>
    <xf numFmtId="0" fontId="1" fillId="2" borderId="34" xfId="0" applyFont="1" applyFill="1" applyBorder="1" applyProtection="1">
      <protection locked="0"/>
    </xf>
    <xf numFmtId="0" fontId="1" fillId="2" borderId="30" xfId="0" applyFont="1" applyFill="1" applyBorder="1" applyAlignment="1" applyProtection="1">
      <alignment horizontal="left" indent="1"/>
      <protection locked="0"/>
    </xf>
    <xf numFmtId="0" fontId="1" fillId="2" borderId="15" xfId="0" applyFont="1" applyFill="1" applyBorder="1" applyAlignment="1" applyProtection="1">
      <alignment horizontal="left" indent="1"/>
      <protection locked="0"/>
    </xf>
    <xf numFmtId="0" fontId="1" fillId="2" borderId="34" xfId="0" applyFont="1" applyFill="1" applyBorder="1" applyAlignment="1" applyProtection="1">
      <alignment horizontal="left" indent="1"/>
      <protection locked="0"/>
    </xf>
    <xf numFmtId="4" fontId="1" fillId="2" borderId="14" xfId="0" applyNumberFormat="1" applyFont="1" applyFill="1" applyBorder="1" applyProtection="1">
      <protection locked="0"/>
    </xf>
    <xf numFmtId="4" fontId="1" fillId="2" borderId="60" xfId="0" applyNumberFormat="1" applyFont="1" applyFill="1" applyBorder="1" applyProtection="1">
      <protection locked="0"/>
    </xf>
    <xf numFmtId="4" fontId="1" fillId="2" borderId="15" xfId="0" applyNumberFormat="1" applyFont="1" applyFill="1" applyBorder="1" applyProtection="1">
      <protection locked="0"/>
    </xf>
    <xf numFmtId="4" fontId="1" fillId="2" borderId="41" xfId="0" applyNumberFormat="1" applyFont="1" applyFill="1" applyBorder="1" applyProtection="1">
      <protection locked="0"/>
    </xf>
    <xf numFmtId="4" fontId="1" fillId="2" borderId="34" xfId="0" applyNumberFormat="1" applyFont="1" applyFill="1" applyBorder="1" applyProtection="1">
      <protection locked="0"/>
    </xf>
    <xf numFmtId="4" fontId="1" fillId="2" borderId="43" xfId="0" applyNumberFormat="1" applyFont="1" applyFill="1" applyBorder="1" applyProtection="1">
      <protection locked="0"/>
    </xf>
    <xf numFmtId="0" fontId="1" fillId="0" borderId="2" xfId="0" applyFont="1" applyBorder="1" applyAlignment="1">
      <alignment horizontal="center"/>
    </xf>
    <xf numFmtId="168" fontId="12" fillId="9" borderId="3" xfId="0" applyNumberFormat="1" applyFont="1" applyFill="1" applyBorder="1"/>
    <xf numFmtId="166" fontId="1" fillId="7" borderId="0" xfId="0" applyNumberFormat="1" applyFont="1" applyFill="1" applyProtection="1">
      <protection locked="0"/>
    </xf>
    <xf numFmtId="0" fontId="5" fillId="0" borderId="1" xfId="0" applyFont="1" applyBorder="1" applyAlignment="1">
      <alignment horizontal="right" indent="1"/>
    </xf>
    <xf numFmtId="1" fontId="4" fillId="0" borderId="41" xfId="0" applyNumberFormat="1" applyFont="1" applyBorder="1"/>
    <xf numFmtId="1" fontId="4" fillId="0" borderId="43" xfId="0" applyNumberFormat="1" applyFont="1" applyBorder="1"/>
    <xf numFmtId="164" fontId="1" fillId="0" borderId="36" xfId="0" applyNumberFormat="1" applyFont="1" applyBorder="1" applyAlignment="1">
      <alignment horizontal="center"/>
    </xf>
    <xf numFmtId="0" fontId="2" fillId="4" borderId="69" xfId="0" applyFont="1" applyFill="1" applyBorder="1" applyAlignment="1">
      <alignment horizontal="center"/>
    </xf>
    <xf numFmtId="0" fontId="2" fillId="4" borderId="70" xfId="0" applyFont="1" applyFill="1" applyBorder="1" applyAlignment="1">
      <alignment horizontal="center"/>
    </xf>
    <xf numFmtId="0" fontId="2" fillId="4" borderId="71" xfId="0" applyFont="1" applyFill="1" applyBorder="1" applyAlignment="1">
      <alignment horizontal="center"/>
    </xf>
    <xf numFmtId="14" fontId="1" fillId="0" borderId="6" xfId="0" applyNumberFormat="1" applyFont="1" applyBorder="1"/>
    <xf numFmtId="14" fontId="1" fillId="0" borderId="0" xfId="0" applyNumberFormat="1" applyFont="1" applyAlignment="1">
      <alignment horizontal="center"/>
    </xf>
    <xf numFmtId="0" fontId="28" fillId="0" borderId="5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6" xfId="0" applyFont="1" applyBorder="1" applyAlignment="1">
      <alignment horizontal="center" vertical="center"/>
    </xf>
    <xf numFmtId="0" fontId="2" fillId="0" borderId="0" xfId="0" applyFont="1"/>
    <xf numFmtId="0" fontId="28" fillId="0" borderId="66" xfId="0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68" xfId="0" applyFont="1" applyBorder="1" applyAlignment="1">
      <alignment horizontal="center" vertical="center"/>
    </xf>
    <xf numFmtId="0" fontId="2" fillId="0" borderId="67" xfId="0" applyFont="1" applyBorder="1" applyAlignment="1">
      <alignment horizontal="center" vertical="center"/>
    </xf>
    <xf numFmtId="14" fontId="1" fillId="0" borderId="67" xfId="0" applyNumberFormat="1" applyFont="1" applyBorder="1" applyAlignment="1">
      <alignment horizontal="center" vertical="center"/>
    </xf>
    <xf numFmtId="0" fontId="1" fillId="0" borderId="73" xfId="0" applyFont="1" applyBorder="1"/>
    <xf numFmtId="0" fontId="1" fillId="0" borderId="74" xfId="0" applyFont="1" applyBorder="1"/>
    <xf numFmtId="0" fontId="1" fillId="0" borderId="75" xfId="0" applyFont="1" applyBorder="1"/>
    <xf numFmtId="0" fontId="1" fillId="0" borderId="76" xfId="0" applyFont="1" applyBorder="1"/>
    <xf numFmtId="0" fontId="1" fillId="0" borderId="77" xfId="0" applyFont="1" applyBorder="1"/>
    <xf numFmtId="0" fontId="1" fillId="0" borderId="78" xfId="0" applyFont="1" applyBorder="1"/>
    <xf numFmtId="0" fontId="2" fillId="0" borderId="10" xfId="0" applyFont="1" applyBorder="1"/>
    <xf numFmtId="0" fontId="1" fillId="0" borderId="9" xfId="0" applyFont="1" applyBorder="1" applyAlignment="1">
      <alignment horizontal="left" indent="1"/>
    </xf>
    <xf numFmtId="0" fontId="1" fillId="0" borderId="80" xfId="0" applyFont="1" applyBorder="1"/>
    <xf numFmtId="0" fontId="1" fillId="0" borderId="66" xfId="0" applyFont="1" applyBorder="1"/>
    <xf numFmtId="0" fontId="1" fillId="0" borderId="67" xfId="0" applyFont="1" applyBorder="1"/>
    <xf numFmtId="0" fontId="1" fillId="0" borderId="68" xfId="0" applyFont="1" applyBorder="1"/>
    <xf numFmtId="0" fontId="17" fillId="0" borderId="0" xfId="0" applyFont="1"/>
    <xf numFmtId="0" fontId="6" fillId="0" borderId="8" xfId="0" applyFont="1" applyBorder="1"/>
    <xf numFmtId="0" fontId="1" fillId="0" borderId="73" xfId="0" applyFont="1" applyBorder="1" applyProtection="1">
      <protection locked="0"/>
    </xf>
    <xf numFmtId="0" fontId="1" fillId="0" borderId="7" xfId="0" applyFont="1" applyBorder="1" applyProtection="1">
      <protection locked="0"/>
    </xf>
    <xf numFmtId="0" fontId="1" fillId="0" borderId="74" xfId="0" applyFont="1" applyBorder="1" applyProtection="1">
      <protection locked="0"/>
    </xf>
    <xf numFmtId="0" fontId="1" fillId="0" borderId="75" xfId="0" applyFont="1" applyBorder="1" applyProtection="1">
      <protection locked="0"/>
    </xf>
    <xf numFmtId="0" fontId="1" fillId="0" borderId="0" xfId="0" applyFont="1" applyProtection="1">
      <protection locked="0"/>
    </xf>
    <xf numFmtId="0" fontId="1" fillId="0" borderId="76" xfId="0" applyFont="1" applyBorder="1" applyProtection="1">
      <protection locked="0"/>
    </xf>
    <xf numFmtId="4" fontId="10" fillId="0" borderId="0" xfId="0" applyNumberFormat="1" applyFont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right"/>
      <protection locked="0"/>
    </xf>
    <xf numFmtId="0" fontId="10" fillId="0" borderId="0" xfId="0" applyFont="1" applyProtection="1">
      <protection locked="0"/>
    </xf>
    <xf numFmtId="0" fontId="1" fillId="0" borderId="0" xfId="0" applyFont="1" applyAlignment="1" applyProtection="1">
      <alignment horizontal="right"/>
      <protection locked="0"/>
    </xf>
    <xf numFmtId="3" fontId="2" fillId="0" borderId="0" xfId="0" applyNumberFormat="1" applyFont="1" applyProtection="1">
      <protection locked="0"/>
    </xf>
    <xf numFmtId="0" fontId="1" fillId="0" borderId="77" xfId="0" applyFont="1" applyBorder="1" applyProtection="1">
      <protection locked="0"/>
    </xf>
    <xf numFmtId="0" fontId="1" fillId="0" borderId="1" xfId="0" applyFont="1" applyBorder="1" applyProtection="1">
      <protection locked="0"/>
    </xf>
    <xf numFmtId="0" fontId="1" fillId="0" borderId="78" xfId="0" applyFont="1" applyBorder="1" applyProtection="1">
      <protection locked="0"/>
    </xf>
    <xf numFmtId="14" fontId="1" fillId="2" borderId="16" xfId="0" applyNumberFormat="1" applyFont="1" applyFill="1" applyBorder="1" applyAlignment="1" applyProtection="1">
      <alignment horizontal="center"/>
      <protection locked="0"/>
    </xf>
    <xf numFmtId="0" fontId="1" fillId="2" borderId="16" xfId="0" applyFont="1" applyFill="1" applyBorder="1" applyAlignment="1" applyProtection="1">
      <alignment horizontal="left" indent="1"/>
      <protection locked="0"/>
    </xf>
    <xf numFmtId="14" fontId="1" fillId="2" borderId="15" xfId="0" applyNumberFormat="1" applyFont="1" applyFill="1" applyBorder="1" applyAlignment="1" applyProtection="1">
      <alignment horizontal="center"/>
      <protection locked="0"/>
    </xf>
    <xf numFmtId="14" fontId="1" fillId="2" borderId="34" xfId="0" applyNumberFormat="1" applyFont="1" applyFill="1" applyBorder="1" applyAlignment="1" applyProtection="1">
      <alignment horizontal="center"/>
      <protection locked="0"/>
    </xf>
    <xf numFmtId="0" fontId="1" fillId="0" borderId="82" xfId="0" applyFont="1" applyBorder="1"/>
    <xf numFmtId="0" fontId="1" fillId="0" borderId="83" xfId="0" applyFont="1" applyBorder="1"/>
    <xf numFmtId="0" fontId="1" fillId="0" borderId="84" xfId="0" applyFont="1" applyBorder="1"/>
    <xf numFmtId="0" fontId="1" fillId="0" borderId="85" xfId="0" applyFont="1" applyBorder="1"/>
    <xf numFmtId="0" fontId="1" fillId="0" borderId="86" xfId="0" applyFont="1" applyBorder="1"/>
    <xf numFmtId="0" fontId="1" fillId="0" borderId="87" xfId="0" applyFont="1" applyBorder="1"/>
    <xf numFmtId="0" fontId="1" fillId="0" borderId="88" xfId="0" applyFont="1" applyBorder="1"/>
    <xf numFmtId="4" fontId="16" fillId="0" borderId="1" xfId="0" applyNumberFormat="1" applyFont="1" applyBorder="1" applyAlignment="1">
      <alignment horizontal="center"/>
    </xf>
    <xf numFmtId="168" fontId="16" fillId="0" borderId="1" xfId="0" applyNumberFormat="1" applyFont="1" applyBorder="1" applyAlignment="1">
      <alignment horizontal="center"/>
    </xf>
    <xf numFmtId="0" fontId="16" fillId="0" borderId="11" xfId="0" applyFont="1" applyBorder="1"/>
    <xf numFmtId="4" fontId="31" fillId="0" borderId="1" xfId="0" applyNumberFormat="1" applyFont="1" applyBorder="1" applyAlignment="1">
      <alignment horizontal="left"/>
    </xf>
    <xf numFmtId="0" fontId="6" fillId="2" borderId="72" xfId="0" applyFont="1" applyFill="1" applyBorder="1" applyAlignment="1" applyProtection="1">
      <alignment horizontal="left" indent="1"/>
      <protection locked="0"/>
    </xf>
    <xf numFmtId="0" fontId="6" fillId="2" borderId="11" xfId="0" applyFont="1" applyFill="1" applyBorder="1" applyProtection="1">
      <protection locked="0"/>
    </xf>
    <xf numFmtId="0" fontId="6" fillId="2" borderId="28" xfId="0" applyFont="1" applyFill="1" applyBorder="1" applyProtection="1">
      <protection locked="0"/>
    </xf>
    <xf numFmtId="0" fontId="6" fillId="2" borderId="1" xfId="0" applyFont="1" applyFill="1" applyBorder="1" applyProtection="1">
      <protection locked="0"/>
    </xf>
    <xf numFmtId="0" fontId="6" fillId="0" borderId="0" xfId="0" applyFont="1" applyAlignment="1">
      <alignment horizontal="left" indent="1"/>
    </xf>
    <xf numFmtId="0" fontId="6" fillId="2" borderId="1" xfId="0" applyFont="1" applyFill="1" applyBorder="1" applyAlignment="1" applyProtection="1">
      <alignment horizontal="center"/>
      <protection locked="0"/>
    </xf>
    <xf numFmtId="0" fontId="6" fillId="2" borderId="1" xfId="0" applyFont="1" applyFill="1" applyBorder="1" applyAlignment="1" applyProtection="1">
      <alignment horizontal="left" indent="1"/>
      <protection locked="0"/>
    </xf>
    <xf numFmtId="3" fontId="11" fillId="4" borderId="1" xfId="0" applyNumberFormat="1" applyFont="1" applyFill="1" applyBorder="1"/>
    <xf numFmtId="0" fontId="5" fillId="0" borderId="81" xfId="0" applyFont="1" applyBorder="1"/>
    <xf numFmtId="0" fontId="6" fillId="0" borderId="81" xfId="0" applyFont="1" applyBorder="1"/>
    <xf numFmtId="0" fontId="5" fillId="0" borderId="10" xfId="0" applyFont="1" applyBorder="1"/>
    <xf numFmtId="0" fontId="6" fillId="0" borderId="1" xfId="0" applyFont="1" applyBorder="1" applyAlignment="1">
      <alignment horizontal="center"/>
    </xf>
    <xf numFmtId="2" fontId="11" fillId="0" borderId="1" xfId="0" applyNumberFormat="1" applyFont="1" applyBorder="1" applyAlignment="1">
      <alignment horizontal="center"/>
    </xf>
    <xf numFmtId="0" fontId="6" fillId="0" borderId="10" xfId="0" applyFont="1" applyBorder="1"/>
    <xf numFmtId="165" fontId="16" fillId="0" borderId="1" xfId="0" applyNumberFormat="1" applyFont="1" applyBorder="1" applyAlignment="1">
      <alignment horizontal="center"/>
    </xf>
    <xf numFmtId="4" fontId="16" fillId="0" borderId="11" xfId="0" applyNumberFormat="1" applyFont="1" applyBorder="1" applyAlignment="1">
      <alignment horizontal="center"/>
    </xf>
    <xf numFmtId="2" fontId="11" fillId="4" borderId="1" xfId="0" applyNumberFormat="1" applyFont="1" applyFill="1" applyBorder="1"/>
    <xf numFmtId="9" fontId="11" fillId="4" borderId="1" xfId="0" applyNumberFormat="1" applyFont="1" applyFill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27" fillId="0" borderId="0" xfId="0" applyFont="1" applyAlignment="1" applyProtection="1">
      <alignment horizontal="left"/>
      <protection locked="0"/>
    </xf>
    <xf numFmtId="170" fontId="1" fillId="7" borderId="1" xfId="0" applyNumberFormat="1" applyFont="1" applyFill="1" applyBorder="1" applyProtection="1">
      <protection locked="0"/>
    </xf>
    <xf numFmtId="0" fontId="6" fillId="0" borderId="11" xfId="0" applyFont="1" applyBorder="1" applyAlignment="1">
      <alignment horizontal="center"/>
    </xf>
    <xf numFmtId="0" fontId="1" fillId="0" borderId="89" xfId="0" applyFont="1" applyBorder="1"/>
    <xf numFmtId="0" fontId="2" fillId="6" borderId="32" xfId="0" applyFont="1" applyFill="1" applyBorder="1" applyAlignment="1">
      <alignment horizontal="center"/>
    </xf>
    <xf numFmtId="10" fontId="1" fillId="0" borderId="3" xfId="0" applyNumberFormat="1" applyFont="1" applyBorder="1"/>
    <xf numFmtId="10" fontId="1" fillId="0" borderId="11" xfId="0" applyNumberFormat="1" applyFont="1" applyBorder="1"/>
    <xf numFmtId="10" fontId="1" fillId="0" borderId="7" xfId="0" applyNumberFormat="1" applyFont="1" applyBorder="1"/>
    <xf numFmtId="0" fontId="1" fillId="0" borderId="32" xfId="0" applyFont="1" applyBorder="1" applyProtection="1">
      <protection locked="0"/>
    </xf>
    <xf numFmtId="0" fontId="1" fillId="0" borderId="32" xfId="0" applyFont="1" applyBorder="1" applyAlignment="1">
      <alignment horizontal="left" indent="1"/>
    </xf>
    <xf numFmtId="0" fontId="1" fillId="0" borderId="33" xfId="0" applyFont="1" applyBorder="1" applyProtection="1">
      <protection locked="0"/>
    </xf>
    <xf numFmtId="0" fontId="0" fillId="2" borderId="20" xfId="0" applyFill="1" applyBorder="1" applyAlignment="1">
      <alignment horizontal="left" indent="1"/>
    </xf>
    <xf numFmtId="0" fontId="0" fillId="2" borderId="28" xfId="0" applyFill="1" applyBorder="1" applyAlignment="1">
      <alignment horizontal="left" indent="1"/>
    </xf>
    <xf numFmtId="0" fontId="0" fillId="0" borderId="3" xfId="0" applyBorder="1" applyAlignment="1">
      <alignment horizontal="left" indent="1"/>
    </xf>
    <xf numFmtId="0" fontId="0" fillId="0" borderId="11" xfId="0" applyBorder="1" applyAlignment="1">
      <alignment horizontal="left" indent="1"/>
    </xf>
    <xf numFmtId="0" fontId="1" fillId="2" borderId="20" xfId="0" applyFont="1" applyFill="1" applyBorder="1" applyAlignment="1" applyProtection="1">
      <alignment horizontal="center"/>
      <protection locked="0"/>
    </xf>
    <xf numFmtId="0" fontId="1" fillId="2" borderId="28" xfId="0" applyFont="1" applyFill="1" applyBorder="1" applyAlignment="1" applyProtection="1">
      <alignment horizontal="center"/>
      <protection locked="0"/>
    </xf>
    <xf numFmtId="0" fontId="1" fillId="2" borderId="28" xfId="0" quotePrefix="1" applyFont="1" applyFill="1" applyBorder="1" applyAlignment="1" applyProtection="1">
      <alignment horizontal="center"/>
      <protection locked="0"/>
    </xf>
    <xf numFmtId="0" fontId="1" fillId="2" borderId="3" xfId="0" applyFont="1" applyFill="1" applyBorder="1" applyAlignment="1" applyProtection="1">
      <alignment horizontal="left" indent="1"/>
      <protection locked="0"/>
    </xf>
    <xf numFmtId="0" fontId="1" fillId="2" borderId="11" xfId="0" applyFont="1" applyFill="1" applyBorder="1" applyAlignment="1" applyProtection="1">
      <alignment horizontal="left" indent="1"/>
      <protection locked="0"/>
    </xf>
    <xf numFmtId="0" fontId="5" fillId="0" borderId="44" xfId="0" applyFont="1" applyBorder="1" applyAlignment="1">
      <alignment horizontal="left" indent="1"/>
    </xf>
    <xf numFmtId="0" fontId="1" fillId="0" borderId="45" xfId="0" applyFont="1" applyBorder="1"/>
    <xf numFmtId="168" fontId="4" fillId="0" borderId="46" xfId="0" applyNumberFormat="1" applyFont="1" applyBorder="1"/>
    <xf numFmtId="168" fontId="10" fillId="0" borderId="46" xfId="0" applyNumberFormat="1" applyFont="1" applyBorder="1"/>
    <xf numFmtId="0" fontId="1" fillId="2" borderId="49" xfId="0" applyFont="1" applyFill="1" applyBorder="1" applyAlignment="1" applyProtection="1">
      <alignment horizontal="left" wrapText="1" indent="1"/>
      <protection locked="0"/>
    </xf>
    <xf numFmtId="0" fontId="1" fillId="2" borderId="41" xfId="0" applyFont="1" applyFill="1" applyBorder="1" applyAlignment="1" applyProtection="1">
      <alignment horizontal="left" wrapText="1" indent="1"/>
      <protection locked="0"/>
    </xf>
    <xf numFmtId="0" fontId="1" fillId="2" borderId="43" xfId="0" applyFont="1" applyFill="1" applyBorder="1" applyAlignment="1" applyProtection="1">
      <alignment horizontal="left" wrapText="1" indent="1"/>
      <protection locked="0"/>
    </xf>
    <xf numFmtId="168" fontId="4" fillId="0" borderId="26" xfId="0" applyNumberFormat="1" applyFont="1" applyBorder="1"/>
    <xf numFmtId="168" fontId="4" fillId="0" borderId="15" xfId="0" applyNumberFormat="1" applyFont="1" applyBorder="1"/>
    <xf numFmtId="9" fontId="11" fillId="0" borderId="1" xfId="0" applyNumberFormat="1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3" fontId="0" fillId="0" borderId="0" xfId="0" applyNumberFormat="1"/>
    <xf numFmtId="0" fontId="1" fillId="2" borderId="16" xfId="0" applyFont="1" applyFill="1" applyBorder="1" applyAlignment="1" applyProtection="1">
      <alignment horizontal="left" wrapText="1" indent="1"/>
      <protection locked="0"/>
    </xf>
    <xf numFmtId="0" fontId="1" fillId="2" borderId="15" xfId="0" applyFont="1" applyFill="1" applyBorder="1" applyAlignment="1" applyProtection="1">
      <alignment horizontal="left" wrapText="1" indent="1"/>
      <protection locked="0"/>
    </xf>
    <xf numFmtId="0" fontId="1" fillId="2" borderId="34" xfId="0" applyFont="1" applyFill="1" applyBorder="1" applyAlignment="1" applyProtection="1">
      <alignment horizontal="left" wrapText="1" indent="1"/>
      <protection locked="0"/>
    </xf>
    <xf numFmtId="4" fontId="4" fillId="0" borderId="15" xfId="0" applyNumberFormat="1" applyFont="1" applyBorder="1"/>
    <xf numFmtId="2" fontId="4" fillId="4" borderId="34" xfId="0" applyNumberFormat="1" applyFont="1" applyFill="1" applyBorder="1"/>
    <xf numFmtId="165" fontId="4" fillId="0" borderId="15" xfId="0" applyNumberFormat="1" applyFont="1" applyBorder="1"/>
    <xf numFmtId="165" fontId="4" fillId="4" borderId="34" xfId="0" applyNumberFormat="1" applyFont="1" applyFill="1" applyBorder="1"/>
    <xf numFmtId="10" fontId="4" fillId="4" borderId="15" xfId="0" applyNumberFormat="1" applyFont="1" applyFill="1" applyBorder="1"/>
    <xf numFmtId="10" fontId="4" fillId="0" borderId="30" xfId="2" applyNumberFormat="1" applyFont="1" applyBorder="1"/>
    <xf numFmtId="166" fontId="1" fillId="7" borderId="1" xfId="2" applyNumberFormat="1" applyFont="1" applyFill="1" applyBorder="1" applyProtection="1">
      <protection locked="0"/>
    </xf>
    <xf numFmtId="0" fontId="38" fillId="0" borderId="0" xfId="0" applyFont="1"/>
    <xf numFmtId="0" fontId="39" fillId="0" borderId="0" xfId="0" applyFont="1"/>
    <xf numFmtId="0" fontId="40" fillId="0" borderId="0" xfId="0" applyFont="1"/>
    <xf numFmtId="0" fontId="41" fillId="0" borderId="0" xfId="0" applyFont="1"/>
    <xf numFmtId="0" fontId="42" fillId="0" borderId="0" xfId="0" applyFont="1"/>
    <xf numFmtId="0" fontId="43" fillId="0" borderId="0" xfId="1" applyFont="1"/>
    <xf numFmtId="3" fontId="5" fillId="4" borderId="81" xfId="0" applyNumberFormat="1" applyFont="1" applyFill="1" applyBorder="1"/>
    <xf numFmtId="0" fontId="17" fillId="2" borderId="16" xfId="0" applyFont="1" applyFill="1" applyBorder="1" applyAlignment="1" applyProtection="1">
      <alignment horizontal="left" indent="1"/>
      <protection locked="0"/>
    </xf>
    <xf numFmtId="0" fontId="17" fillId="2" borderId="16" xfId="0" applyFont="1" applyFill="1" applyBorder="1" applyAlignment="1" applyProtection="1">
      <alignment horizontal="center"/>
      <protection locked="0"/>
    </xf>
    <xf numFmtId="0" fontId="6" fillId="2" borderId="0" xfId="0" applyFont="1" applyFill="1" applyAlignment="1">
      <alignment horizontal="left" indent="1"/>
    </xf>
    <xf numFmtId="0" fontId="33" fillId="2" borderId="0" xfId="0" applyFont="1" applyFill="1" applyAlignment="1">
      <alignment horizontal="left" indent="1"/>
    </xf>
    <xf numFmtId="0" fontId="6" fillId="2" borderId="0" xfId="0" applyFont="1" applyFill="1"/>
    <xf numFmtId="0" fontId="17" fillId="0" borderId="79" xfId="0" applyFont="1" applyBorder="1" applyAlignment="1">
      <alignment horizontal="center"/>
    </xf>
    <xf numFmtId="0" fontId="17" fillId="0" borderId="79" xfId="0" applyFont="1" applyBorder="1" applyAlignment="1">
      <alignment horizontal="center" wrapText="1"/>
    </xf>
    <xf numFmtId="0" fontId="17" fillId="0" borderId="16" xfId="0" applyFont="1" applyBorder="1" applyAlignment="1">
      <alignment horizontal="center"/>
    </xf>
    <xf numFmtId="0" fontId="17" fillId="0" borderId="16" xfId="0" applyFont="1" applyBorder="1" applyProtection="1">
      <protection locked="0"/>
    </xf>
    <xf numFmtId="0" fontId="17" fillId="0" borderId="16" xfId="0" applyFont="1" applyBorder="1" applyAlignment="1" applyProtection="1">
      <alignment horizontal="left" indent="1"/>
      <protection locked="0"/>
    </xf>
    <xf numFmtId="0" fontId="17" fillId="0" borderId="16" xfId="0" applyFont="1" applyBorder="1" applyAlignment="1" applyProtection="1">
      <alignment horizontal="center"/>
      <protection locked="0"/>
    </xf>
    <xf numFmtId="3" fontId="4" fillId="4" borderId="1" xfId="0" applyNumberFormat="1" applyFont="1" applyFill="1" applyBorder="1" applyAlignment="1">
      <alignment horizontal="right"/>
    </xf>
    <xf numFmtId="14" fontId="1" fillId="10" borderId="1" xfId="0" applyNumberFormat="1" applyFont="1" applyFill="1" applyBorder="1" applyProtection="1">
      <protection locked="0"/>
    </xf>
    <xf numFmtId="165" fontId="12" fillId="9" borderId="1" xfId="0" applyNumberFormat="1" applyFont="1" applyFill="1" applyBorder="1" applyAlignment="1">
      <alignment horizontal="right"/>
    </xf>
    <xf numFmtId="0" fontId="7" fillId="0" borderId="1" xfId="0" applyFont="1" applyBorder="1" applyAlignment="1">
      <alignment horizontal="center"/>
    </xf>
    <xf numFmtId="3" fontId="1" fillId="0" borderId="1" xfId="0" applyNumberFormat="1" applyFont="1" applyBorder="1" applyAlignment="1" applyProtection="1">
      <alignment horizontal="left" indent="1"/>
      <protection locked="0"/>
    </xf>
    <xf numFmtId="3" fontId="4" fillId="0" borderId="30" xfId="0" applyNumberFormat="1" applyFont="1" applyBorder="1"/>
    <xf numFmtId="3" fontId="16" fillId="0" borderId="1" xfId="0" applyNumberFormat="1" applyFont="1" applyBorder="1" applyAlignment="1">
      <alignment horizontal="center"/>
    </xf>
    <xf numFmtId="165" fontId="16" fillId="0" borderId="11" xfId="0" applyNumberFormat="1" applyFont="1" applyBorder="1"/>
    <xf numFmtId="3" fontId="11" fillId="0" borderId="1" xfId="0" applyNumberFormat="1" applyFont="1" applyBorder="1"/>
    <xf numFmtId="1" fontId="16" fillId="0" borderId="1" xfId="0" applyNumberFormat="1" applyFont="1" applyBorder="1" applyAlignment="1">
      <alignment horizontal="center"/>
    </xf>
    <xf numFmtId="165" fontId="16" fillId="0" borderId="11" xfId="0" applyNumberFormat="1" applyFont="1" applyBorder="1" applyAlignment="1">
      <alignment horizontal="right"/>
    </xf>
    <xf numFmtId="168" fontId="16" fillId="0" borderId="11" xfId="0" applyNumberFormat="1" applyFont="1" applyBorder="1" applyAlignment="1">
      <alignment horizontal="right"/>
    </xf>
    <xf numFmtId="167" fontId="16" fillId="0" borderId="11" xfId="0" applyNumberFormat="1" applyFont="1" applyBorder="1" applyAlignment="1">
      <alignment horizontal="center"/>
    </xf>
    <xf numFmtId="3" fontId="4" fillId="0" borderId="0" xfId="0" applyNumberFormat="1" applyFont="1"/>
    <xf numFmtId="9" fontId="11" fillId="0" borderId="1" xfId="2" applyFont="1" applyFill="1" applyBorder="1"/>
    <xf numFmtId="3" fontId="11" fillId="4" borderId="1" xfId="0" applyNumberFormat="1" applyFont="1" applyFill="1" applyBorder="1" applyAlignment="1">
      <alignment horizontal="center"/>
    </xf>
    <xf numFmtId="0" fontId="26" fillId="0" borderId="0" xfId="0" applyFont="1" applyAlignment="1">
      <alignment horizontal="left"/>
    </xf>
    <xf numFmtId="0" fontId="26" fillId="0" borderId="0" xfId="0" applyFont="1" applyAlignment="1">
      <alignment horizontal="left" indent="1"/>
    </xf>
    <xf numFmtId="9" fontId="4" fillId="4" borderId="1" xfId="0" applyNumberFormat="1" applyFont="1" applyFill="1" applyBorder="1"/>
    <xf numFmtId="0" fontId="17" fillId="2" borderId="16" xfId="0" quotePrefix="1" applyFont="1" applyFill="1" applyBorder="1" applyAlignment="1" applyProtection="1">
      <alignment horizontal="center"/>
      <protection locked="0"/>
    </xf>
    <xf numFmtId="0" fontId="6" fillId="0" borderId="11" xfId="0" applyFont="1" applyBorder="1" applyAlignment="1">
      <alignment horizontal="right"/>
    </xf>
    <xf numFmtId="0" fontId="19" fillId="0" borderId="1" xfId="0" applyFont="1" applyBorder="1" applyAlignment="1">
      <alignment horizontal="center"/>
    </xf>
    <xf numFmtId="0" fontId="20" fillId="0" borderId="1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1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6" fillId="2" borderId="1" xfId="0" applyFont="1" applyFill="1" applyBorder="1" applyAlignment="1" applyProtection="1">
      <alignment horizontal="left" indent="1"/>
      <protection locked="0"/>
    </xf>
    <xf numFmtId="0" fontId="33" fillId="2" borderId="1" xfId="0" applyFont="1" applyFill="1" applyBorder="1" applyAlignment="1" applyProtection="1">
      <alignment horizontal="left" indent="1"/>
      <protection locked="0"/>
    </xf>
    <xf numFmtId="0" fontId="30" fillId="2" borderId="1" xfId="1" applyFill="1" applyBorder="1" applyAlignment="1" applyProtection="1">
      <alignment horizontal="left" indent="1"/>
      <protection locked="0"/>
    </xf>
    <xf numFmtId="0" fontId="35" fillId="0" borderId="2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11" fillId="4" borderId="1" xfId="0" applyFont="1" applyFill="1" applyBorder="1" applyAlignment="1">
      <alignment horizontal="left" indent="1"/>
    </xf>
    <xf numFmtId="0" fontId="34" fillId="0" borderId="1" xfId="0" applyFont="1" applyBorder="1" applyAlignment="1">
      <alignment horizontal="left" indent="1"/>
    </xf>
    <xf numFmtId="0" fontId="34" fillId="4" borderId="1" xfId="0" applyFont="1" applyFill="1" applyBorder="1" applyAlignment="1">
      <alignment horizontal="left" indent="1"/>
    </xf>
    <xf numFmtId="0" fontId="1" fillId="6" borderId="32" xfId="0" applyFont="1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0" xfId="0" applyBorder="1" applyAlignment="1">
      <alignment horizontal="center"/>
    </xf>
    <xf numFmtId="0" fontId="2" fillId="0" borderId="21" xfId="0" applyFont="1" applyBorder="1" applyAlignment="1">
      <alignment horizontal="left" indent="1"/>
    </xf>
    <xf numFmtId="0" fontId="8" fillId="0" borderId="3" xfId="0" applyFont="1" applyBorder="1" applyAlignment="1">
      <alignment horizontal="left" indent="1"/>
    </xf>
    <xf numFmtId="0" fontId="8" fillId="0" borderId="25" xfId="0" applyFont="1" applyBorder="1" applyAlignment="1">
      <alignment horizontal="left" indent="1"/>
    </xf>
  </cellXfs>
  <cellStyles count="3">
    <cellStyle name="Hyperlink" xfId="1" builtinId="8"/>
    <cellStyle name="Normal" xfId="0" builtinId="0"/>
    <cellStyle name="Per cent" xfId="2" builtinId="5"/>
  </cellStyles>
  <dxfs count="14">
    <dxf>
      <font>
        <color rgb="FFFF0000"/>
      </font>
      <fill>
        <patternFill patternType="none">
          <bgColor auto="1"/>
        </patternFill>
      </fill>
    </dxf>
    <dxf>
      <font>
        <b/>
        <i val="0"/>
        <color rgb="FF0000FF"/>
      </font>
    </dxf>
    <dxf>
      <fill>
        <patternFill>
          <bgColor rgb="FF92D050"/>
        </patternFill>
      </fill>
      <border>
        <bottom style="hair">
          <color auto="1"/>
        </bottom>
      </border>
    </dxf>
    <dxf>
      <fill>
        <patternFill>
          <bgColor rgb="FF92D050"/>
        </patternFill>
      </fill>
      <border>
        <bottom style="hair">
          <color auto="1"/>
        </bottom>
      </border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 patternType="none">
          <bgColor auto="1"/>
        </patternFill>
      </fill>
    </dxf>
    <dxf>
      <font>
        <b/>
        <i val="0"/>
        <color rgb="FF0000FF"/>
      </font>
      <fill>
        <patternFill patternType="none">
          <bgColor auto="1"/>
        </patternFill>
      </fill>
    </dxf>
    <dxf>
      <font>
        <b/>
        <i val="0"/>
        <color rgb="FF0000FF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FFFEB"/>
      <color rgb="FFF8F8F8"/>
      <color rgb="FFFEFFDD"/>
      <color rgb="FFFFCC55"/>
      <color rgb="FFFFFFCC"/>
      <color rgb="FF0000FF"/>
      <color rgb="FFFFCC23"/>
      <color rgb="FFFFCC66"/>
      <color rgb="FFFFCC0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accen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b="1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Kontostand Kredit / Guthaben in €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290820128965363E-2"/>
          <c:y val="0.14094678165315416"/>
          <c:w val="0.85731829817569105"/>
          <c:h val="0.73671345778488406"/>
        </c:manualLayout>
      </c:layout>
      <c:scatterChart>
        <c:scatterStyle val="lineMarker"/>
        <c:varyColors val="0"/>
        <c:ser>
          <c:idx val="0"/>
          <c:order val="0"/>
          <c:tx>
            <c:strRef>
              <c:f>Ergebnisse!$O$24</c:f>
              <c:strCache>
                <c:ptCount val="1"/>
                <c:pt idx="0">
                  <c:v>Kontostand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Ergebnisse!$M$26:$M$46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Ergebnisse!$O$26:$O$46</c:f>
              <c:numCache>
                <c:formatCode>#,##0</c:formatCode>
                <c:ptCount val="21"/>
                <c:pt idx="0">
                  <c:v>-15960</c:v>
                </c:pt>
                <c:pt idx="1">
                  <c:v>-15072.388027499999</c:v>
                </c:pt>
                <c:pt idx="2">
                  <c:v>-14175.980982176698</c:v>
                </c:pt>
                <c:pt idx="3">
                  <c:v>-13270.621109139765</c:v>
                </c:pt>
                <c:pt idx="4">
                  <c:v>-12356.148129660331</c:v>
                </c:pt>
                <c:pt idx="5">
                  <c:v>-11432.399203319394</c:v>
                </c:pt>
                <c:pt idx="6">
                  <c:v>-10499.20888965172</c:v>
                </c:pt>
                <c:pt idx="7">
                  <c:v>-9556.40910928015</c:v>
                </c:pt>
                <c:pt idx="8">
                  <c:v>-8603.829104535318</c:v>
                </c:pt>
                <c:pt idx="9">
                  <c:v>-7641.2953995557036</c:v>
                </c:pt>
                <c:pt idx="10">
                  <c:v>-6668.6317598630212</c:v>
                </c:pt>
                <c:pt idx="11">
                  <c:v>-5685.6591514078937</c:v>
                </c:pt>
                <c:pt idx="12">
                  <c:v>-4692.1956990807976</c:v>
                </c:pt>
                <c:pt idx="13">
                  <c:v>-3688.056644683274</c:v>
                </c:pt>
                <c:pt idx="14">
                  <c:v>-2673.0543043544208</c:v>
                </c:pt>
                <c:pt idx="15">
                  <c:v>-1646.9980254476723</c:v>
                </c:pt>
                <c:pt idx="16">
                  <c:v>-609.69414285291623</c:v>
                </c:pt>
                <c:pt idx="17">
                  <c:v>439.05406524098942</c:v>
                </c:pt>
                <c:pt idx="18">
                  <c:v>1499.4464221482126</c:v>
                </c:pt>
                <c:pt idx="19">
                  <c:v>2571.6858980573443</c:v>
                </c:pt>
                <c:pt idx="20">
                  <c:v>3655.97865597705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47-4F51-976D-C6B778B57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1395952"/>
        <c:axId val="-141389968"/>
      </c:scatterChart>
      <c:valAx>
        <c:axId val="-141395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-141389968"/>
        <c:crosses val="autoZero"/>
        <c:crossBetween val="midCat"/>
      </c:valAx>
      <c:valAx>
        <c:axId val="-14138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-141395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0" normalizeH="0" baseline="0">
                <a:solidFill>
                  <a:schemeClr val="accent1"/>
                </a:solidFill>
                <a:latin typeface="Arial" panose="020B0604020202020204" pitchFamily="34" charset="0"/>
                <a:ea typeface="+mj-ea"/>
                <a:cs typeface="Arial" panose="020B0604020202020204" pitchFamily="34" charset="0"/>
              </a:defRPr>
            </a:pPr>
            <a:r>
              <a:rPr lang="en-US" sz="140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Stromflüsse</a:t>
            </a:r>
          </a:p>
        </c:rich>
      </c:tx>
      <c:layout>
        <c:manualLayout>
          <c:xMode val="edge"/>
          <c:yMode val="edge"/>
          <c:x val="0.37725780751949539"/>
          <c:y val="4.63730737897445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0" normalizeH="0" baseline="0">
              <a:solidFill>
                <a:schemeClr val="accent1"/>
              </a:solidFill>
              <a:latin typeface="Arial" panose="020B0604020202020204" pitchFamily="34" charset="0"/>
              <a:ea typeface="+mj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000762352838675"/>
          <c:y val="0.19095608497695718"/>
          <c:w val="0.52804216900273349"/>
          <c:h val="0.6632658894282741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Ergebnisse!$F$48</c:f>
              <c:strCache>
                <c:ptCount val="1"/>
                <c:pt idx="0">
                  <c:v>Netzeinspeisung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Ergebnisse!$G$47:$H$47</c:f>
              <c:strCache>
                <c:ptCount val="2"/>
                <c:pt idx="0">
                  <c:v>Ertrag</c:v>
                </c:pt>
                <c:pt idx="1">
                  <c:v>Verbrauch</c:v>
                </c:pt>
              </c:strCache>
            </c:strRef>
          </c:cat>
          <c:val>
            <c:numRef>
              <c:f>Ergebnisse!$G$48:$H$48</c:f>
              <c:numCache>
                <c:formatCode>#,##0</c:formatCode>
                <c:ptCount val="2"/>
                <c:pt idx="0">
                  <c:v>4090.3649999999998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3F-44EA-8261-71E44194C6BC}"/>
            </c:ext>
          </c:extLst>
        </c:ser>
        <c:ser>
          <c:idx val="1"/>
          <c:order val="1"/>
          <c:tx>
            <c:strRef>
              <c:f>Ergebnisse!$F$49</c:f>
              <c:strCache>
                <c:ptCount val="1"/>
                <c:pt idx="0">
                  <c:v>Eigenverbrauch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Ergebnisse!$G$47:$H$47</c:f>
              <c:strCache>
                <c:ptCount val="2"/>
                <c:pt idx="0">
                  <c:v>Ertrag</c:v>
                </c:pt>
                <c:pt idx="1">
                  <c:v>Verbrauch</c:v>
                </c:pt>
              </c:strCache>
            </c:strRef>
          </c:cat>
          <c:val>
            <c:numRef>
              <c:f>Ergebnisse!$G$49:$H$49</c:f>
              <c:numCache>
                <c:formatCode>#,##0</c:formatCode>
                <c:ptCount val="2"/>
                <c:pt idx="0">
                  <c:v>1444.635</c:v>
                </c:pt>
                <c:pt idx="1">
                  <c:v>1444.635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3F-44EA-8261-71E44194C6BC}"/>
            </c:ext>
          </c:extLst>
        </c:ser>
        <c:ser>
          <c:idx val="2"/>
          <c:order val="2"/>
          <c:tx>
            <c:strRef>
              <c:f>Ergebnisse!$F$50</c:f>
              <c:strCache>
                <c:ptCount val="1"/>
                <c:pt idx="0">
                  <c:v>Netzbezug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Ergebnisse!$G$47:$H$47</c:f>
              <c:strCache>
                <c:ptCount val="2"/>
                <c:pt idx="0">
                  <c:v>Ertrag</c:v>
                </c:pt>
                <c:pt idx="1">
                  <c:v>Verbrauch</c:v>
                </c:pt>
              </c:strCache>
            </c:strRef>
          </c:cat>
          <c:val>
            <c:numRef>
              <c:f>Ergebnisse!$G$50:$H$50</c:f>
              <c:numCache>
                <c:formatCode>#,##0</c:formatCode>
                <c:ptCount val="2"/>
                <c:pt idx="1">
                  <c:v>2505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3F-44EA-8261-71E44194C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41389424"/>
        <c:axId val="-141383984"/>
      </c:barChart>
      <c:catAx>
        <c:axId val="-141389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-141383984"/>
        <c:crosses val="autoZero"/>
        <c:auto val="1"/>
        <c:lblAlgn val="ctr"/>
        <c:lblOffset val="100"/>
        <c:noMultiLvlLbl val="0"/>
      </c:catAx>
      <c:valAx>
        <c:axId val="-1413839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1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kWh/a</a:t>
                </a:r>
              </a:p>
            </c:rich>
          </c:tx>
          <c:layout>
            <c:manualLayout>
              <c:xMode val="edge"/>
              <c:yMode val="edge"/>
              <c:x val="2.7690107201330121E-2"/>
              <c:y val="0.3971054168707113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-141389424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5318120056996252"/>
          <c:y val="0.26005470422685767"/>
          <c:w val="0.20359896705245398"/>
          <c:h val="0.462259393547316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none" spc="0" normalizeH="0" baseline="0">
                <a:solidFill>
                  <a:schemeClr val="accent1"/>
                </a:solidFill>
                <a:latin typeface="Arial" panose="020B0604020202020204" pitchFamily="34" charset="0"/>
                <a:ea typeface="+mj-ea"/>
                <a:cs typeface="Arial" panose="020B0604020202020204" pitchFamily="34" charset="0"/>
              </a:defRPr>
            </a:pPr>
            <a:r>
              <a:rPr lang="en-US" sz="120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Stromflüsse</a:t>
            </a:r>
          </a:p>
        </c:rich>
      </c:tx>
      <c:layout>
        <c:manualLayout>
          <c:xMode val="edge"/>
          <c:yMode val="edge"/>
          <c:x val="0.37725780751949539"/>
          <c:y val="4.63730737897445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accent1"/>
              </a:solidFill>
              <a:latin typeface="Arial" panose="020B0604020202020204" pitchFamily="34" charset="0"/>
              <a:ea typeface="+mj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485540922084071"/>
          <c:y val="0.19095608497695718"/>
          <c:w val="0.53992038300334955"/>
          <c:h val="0.6632658894282741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Ergebnisse!$F$48</c:f>
              <c:strCache>
                <c:ptCount val="1"/>
                <c:pt idx="0">
                  <c:v>Netzeinspeisung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Ergebnisse!$G$47:$H$47</c:f>
              <c:strCache>
                <c:ptCount val="2"/>
                <c:pt idx="0">
                  <c:v>Ertrag</c:v>
                </c:pt>
                <c:pt idx="1">
                  <c:v>Verbrauch</c:v>
                </c:pt>
              </c:strCache>
            </c:strRef>
          </c:cat>
          <c:val>
            <c:numRef>
              <c:f>Ergebnisse!$G$48:$H$48</c:f>
              <c:numCache>
                <c:formatCode>#,##0</c:formatCode>
                <c:ptCount val="2"/>
                <c:pt idx="0">
                  <c:v>4090.3649999999998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E8-42F5-9DE3-ECBDA9BF8BDF}"/>
            </c:ext>
          </c:extLst>
        </c:ser>
        <c:ser>
          <c:idx val="1"/>
          <c:order val="1"/>
          <c:tx>
            <c:strRef>
              <c:f>Ergebnisse!$F$49</c:f>
              <c:strCache>
                <c:ptCount val="1"/>
                <c:pt idx="0">
                  <c:v>Eigenverbrauch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Ergebnisse!$G$47:$H$47</c:f>
              <c:strCache>
                <c:ptCount val="2"/>
                <c:pt idx="0">
                  <c:v>Ertrag</c:v>
                </c:pt>
                <c:pt idx="1">
                  <c:v>Verbrauch</c:v>
                </c:pt>
              </c:strCache>
            </c:strRef>
          </c:cat>
          <c:val>
            <c:numRef>
              <c:f>Ergebnisse!$G$49:$H$49</c:f>
              <c:numCache>
                <c:formatCode>#,##0</c:formatCode>
                <c:ptCount val="2"/>
                <c:pt idx="0">
                  <c:v>1444.635</c:v>
                </c:pt>
                <c:pt idx="1">
                  <c:v>1444.635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E8-42F5-9DE3-ECBDA9BF8BDF}"/>
            </c:ext>
          </c:extLst>
        </c:ser>
        <c:ser>
          <c:idx val="2"/>
          <c:order val="2"/>
          <c:tx>
            <c:strRef>
              <c:f>Ergebnisse!$F$50</c:f>
              <c:strCache>
                <c:ptCount val="1"/>
                <c:pt idx="0">
                  <c:v>Netzbezug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Ergebnisse!$G$47:$H$47</c:f>
              <c:strCache>
                <c:ptCount val="2"/>
                <c:pt idx="0">
                  <c:v>Ertrag</c:v>
                </c:pt>
                <c:pt idx="1">
                  <c:v>Verbrauch</c:v>
                </c:pt>
              </c:strCache>
            </c:strRef>
          </c:cat>
          <c:val>
            <c:numRef>
              <c:f>Ergebnisse!$G$50:$H$50</c:f>
              <c:numCache>
                <c:formatCode>#,##0</c:formatCode>
                <c:ptCount val="2"/>
                <c:pt idx="1">
                  <c:v>2505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E8-42F5-9DE3-ECBDA9BF8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41385616"/>
        <c:axId val="-141393232"/>
      </c:barChart>
      <c:catAx>
        <c:axId val="-141385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-141393232"/>
        <c:crosses val="autoZero"/>
        <c:auto val="1"/>
        <c:lblAlgn val="ctr"/>
        <c:lblOffset val="100"/>
        <c:noMultiLvlLbl val="0"/>
      </c:catAx>
      <c:valAx>
        <c:axId val="-1413932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9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kWh/a</a:t>
                </a:r>
              </a:p>
            </c:rich>
          </c:tx>
          <c:layout>
            <c:manualLayout>
              <c:xMode val="edge"/>
              <c:yMode val="edge"/>
              <c:x val="9.8727414084375329E-3"/>
              <c:y val="0.3735757794344063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-141385616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5318120056996252"/>
          <c:y val="0.26005470422685767"/>
          <c:w val="0.23032507350835046"/>
          <c:h val="0.462259393547316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$D$51" lockText="1"/>
</file>

<file path=xl/ctrlProps/ctrlProp7.xml><?xml version="1.0" encoding="utf-8"?>
<formControlPr xmlns="http://schemas.microsoft.com/office/spreadsheetml/2009/9/main" objectType="Radio" checked="Checked" firstButton="1" fmlaLink="$H$51" lockText="1"/>
</file>

<file path=xl/ctrlProps/ctrlProp8.xml><?xml version="1.0" encoding="utf-8"?>
<formControlPr xmlns="http://schemas.microsoft.com/office/spreadsheetml/2009/9/main" objectType="Radio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6.jpeg"/><Relationship Id="rId1" Type="http://schemas.openxmlformats.org/officeDocument/2006/relationships/chart" Target="../charts/chart1.xml"/><Relationship Id="rId4" Type="http://schemas.openxmlformats.org/officeDocument/2006/relationships/image" Target="../media/image7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9.emf"/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558800</xdr:colOff>
          <xdr:row>6</xdr:row>
          <xdr:rowOff>114300</xdr:rowOff>
        </xdr:from>
        <xdr:to>
          <xdr:col>12</xdr:col>
          <xdr:colOff>215900</xdr:colOff>
          <xdr:row>7</xdr:row>
          <xdr:rowOff>228600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Ergebnisse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558800</xdr:colOff>
          <xdr:row>8</xdr:row>
          <xdr:rowOff>101600</xdr:rowOff>
        </xdr:from>
        <xdr:to>
          <xdr:col>12</xdr:col>
          <xdr:colOff>215900</xdr:colOff>
          <xdr:row>9</xdr:row>
          <xdr:rowOff>215900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E - Mobilität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558800</xdr:colOff>
          <xdr:row>4</xdr:row>
          <xdr:rowOff>139700</xdr:rowOff>
        </xdr:from>
        <xdr:to>
          <xdr:col>12</xdr:col>
          <xdr:colOff>215900</xdr:colOff>
          <xdr:row>5</xdr:row>
          <xdr:rowOff>254000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Eingaben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102715</xdr:colOff>
      <xdr:row>0</xdr:row>
      <xdr:rowOff>82559</xdr:rowOff>
    </xdr:from>
    <xdr:to>
      <xdr:col>13</xdr:col>
      <xdr:colOff>561174</xdr:colOff>
      <xdr:row>1</xdr:row>
      <xdr:rowOff>124293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55132" y="82559"/>
          <a:ext cx="458459" cy="475651"/>
        </a:xfrm>
        <a:prstGeom prst="rect">
          <a:avLst/>
        </a:prstGeom>
      </xdr:spPr>
    </xdr:pic>
    <xdr:clientData/>
  </xdr:twoCellAnchor>
  <xdr:twoCellAnchor>
    <xdr:from>
      <xdr:col>10</xdr:col>
      <xdr:colOff>114299</xdr:colOff>
      <xdr:row>21</xdr:row>
      <xdr:rowOff>142873</xdr:rowOff>
    </xdr:from>
    <xdr:to>
      <xdr:col>10</xdr:col>
      <xdr:colOff>564299</xdr:colOff>
      <xdr:row>23</xdr:row>
      <xdr:rowOff>9815</xdr:rowOff>
    </xdr:to>
    <xdr:pic macro="[0]!_xludf.db">
      <xdr:nvPicPr>
        <xdr:cNvPr id="6" name="Picture 488" descr="D:\Bilder\Projekte.jp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57974" y="6115048"/>
          <a:ext cx="450000" cy="4955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28575</xdr:colOff>
      <xdr:row>13</xdr:row>
      <xdr:rowOff>295274</xdr:rowOff>
    </xdr:from>
    <xdr:to>
      <xdr:col>5</xdr:col>
      <xdr:colOff>568575</xdr:colOff>
      <xdr:row>16</xdr:row>
      <xdr:rowOff>127799</xdr:rowOff>
    </xdr:to>
    <xdr:pic>
      <xdr:nvPicPr>
        <xdr:cNvPr id="7" name="Picture 469" descr="D:\Bilder\Help.jpg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0375" y="4324349"/>
          <a:ext cx="540000" cy="585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723900</xdr:colOff>
      <xdr:row>3</xdr:row>
      <xdr:rowOff>231670</xdr:rowOff>
    </xdr:from>
    <xdr:to>
      <xdr:col>8</xdr:col>
      <xdr:colOff>12700</xdr:colOff>
      <xdr:row>11</xdr:row>
      <xdr:rowOff>139700</xdr:rowOff>
    </xdr:to>
    <xdr:pic>
      <xdr:nvPicPr>
        <xdr:cNvPr id="8" name="Grafik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9300" y="1184170"/>
          <a:ext cx="2540000" cy="24480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774700</xdr:colOff>
      <xdr:row>3</xdr:row>
      <xdr:rowOff>282480</xdr:rowOff>
    </xdr:from>
    <xdr:to>
      <xdr:col>17</xdr:col>
      <xdr:colOff>12083</xdr:colOff>
      <xdr:row>11</xdr:row>
      <xdr:rowOff>101599</xdr:rowOff>
    </xdr:to>
    <xdr:pic>
      <xdr:nvPicPr>
        <xdr:cNvPr id="9" name="Picture 3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55300" y="1234980"/>
          <a:ext cx="2488583" cy="23591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558800</xdr:colOff>
          <xdr:row>10</xdr:row>
          <xdr:rowOff>63500</xdr:rowOff>
        </xdr:from>
        <xdr:to>
          <xdr:col>12</xdr:col>
          <xdr:colOff>215900</xdr:colOff>
          <xdr:row>11</xdr:row>
          <xdr:rowOff>177800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Ausgabe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254000</xdr:colOff>
          <xdr:row>10</xdr:row>
          <xdr:rowOff>25400</xdr:rowOff>
        </xdr:from>
        <xdr:to>
          <xdr:col>20</xdr:col>
          <xdr:colOff>635000</xdr:colOff>
          <xdr:row>11</xdr:row>
          <xdr:rowOff>139700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Revision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1625600</xdr:colOff>
          <xdr:row>49</xdr:row>
          <xdr:rowOff>114300</xdr:rowOff>
        </xdr:from>
        <xdr:to>
          <xdr:col>3</xdr:col>
          <xdr:colOff>2006600</xdr:colOff>
          <xdr:row>51</xdr:row>
          <xdr:rowOff>25400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49</xdr:row>
          <xdr:rowOff>0</xdr:rowOff>
        </xdr:from>
        <xdr:to>
          <xdr:col>7</xdr:col>
          <xdr:colOff>482600</xdr:colOff>
          <xdr:row>50</xdr:row>
          <xdr:rowOff>254000</xdr:rowOff>
        </xdr:to>
        <xdr:sp macro="" textlink="">
          <xdr:nvSpPr>
            <xdr:cNvPr id="2062" name="Option 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Laden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50</xdr:row>
          <xdr:rowOff>76200</xdr:rowOff>
        </xdr:from>
        <xdr:to>
          <xdr:col>7</xdr:col>
          <xdr:colOff>482600</xdr:colOff>
          <xdr:row>51</xdr:row>
          <xdr:rowOff>101600</xdr:rowOff>
        </xdr:to>
        <xdr:sp macro="" textlink="">
          <xdr:nvSpPr>
            <xdr:cNvPr id="2064" name="Option Button 16" descr="All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Alle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3</xdr:row>
          <xdr:rowOff>228600</xdr:rowOff>
        </xdr:from>
        <xdr:to>
          <xdr:col>15</xdr:col>
          <xdr:colOff>558800</xdr:colOff>
          <xdr:row>5</xdr:row>
          <xdr:rowOff>177800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Ergebnisse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5</xdr:row>
          <xdr:rowOff>330200</xdr:rowOff>
        </xdr:from>
        <xdr:to>
          <xdr:col>15</xdr:col>
          <xdr:colOff>558800</xdr:colOff>
          <xdr:row>7</xdr:row>
          <xdr:rowOff>292100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E - Mobilität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177800</xdr:colOff>
          <xdr:row>1</xdr:row>
          <xdr:rowOff>152400</xdr:rowOff>
        </xdr:from>
        <xdr:to>
          <xdr:col>15</xdr:col>
          <xdr:colOff>558800</xdr:colOff>
          <xdr:row>3</xdr:row>
          <xdr:rowOff>76200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Menü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370417</xdr:colOff>
      <xdr:row>69</xdr:row>
      <xdr:rowOff>105834</xdr:rowOff>
    </xdr:from>
    <xdr:to>
      <xdr:col>9</xdr:col>
      <xdr:colOff>730417</xdr:colOff>
      <xdr:row>69</xdr:row>
      <xdr:rowOff>285834</xdr:rowOff>
    </xdr:to>
    <xdr:sp macro="[0]!ergeb" textlink="">
      <xdr:nvSpPr>
        <xdr:cNvPr id="2" name="Pfeil: nach recht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spect="1"/>
        </xdr:cNvSpPr>
      </xdr:nvSpPr>
      <xdr:spPr>
        <a:xfrm>
          <a:off x="7027334" y="19473334"/>
          <a:ext cx="360000" cy="1800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8</xdr:row>
          <xdr:rowOff>63500</xdr:rowOff>
        </xdr:from>
        <xdr:to>
          <xdr:col>15</xdr:col>
          <xdr:colOff>558800</xdr:colOff>
          <xdr:row>10</xdr:row>
          <xdr:rowOff>25400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Ausgabe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1</xdr:row>
          <xdr:rowOff>177800</xdr:rowOff>
        </xdr:from>
        <xdr:to>
          <xdr:col>13</xdr:col>
          <xdr:colOff>901700</xdr:colOff>
          <xdr:row>3</xdr:row>
          <xdr:rowOff>101600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Menü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5</xdr:row>
          <xdr:rowOff>177800</xdr:rowOff>
        </xdr:from>
        <xdr:to>
          <xdr:col>13</xdr:col>
          <xdr:colOff>901700</xdr:colOff>
          <xdr:row>7</xdr:row>
          <xdr:rowOff>139700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E - Mobilität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3</xdr:row>
          <xdr:rowOff>266700</xdr:rowOff>
        </xdr:from>
        <xdr:to>
          <xdr:col>13</xdr:col>
          <xdr:colOff>901700</xdr:colOff>
          <xdr:row>4</xdr:row>
          <xdr:rowOff>342900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Eingaben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107156</xdr:colOff>
      <xdr:row>32</xdr:row>
      <xdr:rowOff>166687</xdr:rowOff>
    </xdr:from>
    <xdr:to>
      <xdr:col>10</xdr:col>
      <xdr:colOff>0</xdr:colOff>
      <xdr:row>43</xdr:row>
      <xdr:rowOff>171450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368300</xdr:colOff>
          <xdr:row>28</xdr:row>
          <xdr:rowOff>228600</xdr:rowOff>
        </xdr:from>
        <xdr:to>
          <xdr:col>4</xdr:col>
          <xdr:colOff>101600</xdr:colOff>
          <xdr:row>30</xdr:row>
          <xdr:rowOff>38100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Renditen berechnen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904867</xdr:colOff>
      <xdr:row>25</xdr:row>
      <xdr:rowOff>166689</xdr:rowOff>
    </xdr:from>
    <xdr:to>
      <xdr:col>3</xdr:col>
      <xdr:colOff>1624867</xdr:colOff>
      <xdr:row>27</xdr:row>
      <xdr:rowOff>294865</xdr:rowOff>
    </xdr:to>
    <xdr:pic>
      <xdr:nvPicPr>
        <xdr:cNvPr id="7" name="Picture 477" descr="D:\Bilder\Wirtschaftlichkeit.jpg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3992" y="6703220"/>
          <a:ext cx="720000" cy="7473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</xdr:colOff>
      <xdr:row>43</xdr:row>
      <xdr:rowOff>238126</xdr:rowOff>
    </xdr:from>
    <xdr:to>
      <xdr:col>9</xdr:col>
      <xdr:colOff>1035844</xdr:colOff>
      <xdr:row>54</xdr:row>
      <xdr:rowOff>226219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613833</xdr:colOff>
      <xdr:row>4</xdr:row>
      <xdr:rowOff>84666</xdr:rowOff>
    </xdr:from>
    <xdr:to>
      <xdr:col>3</xdr:col>
      <xdr:colOff>1225833</xdr:colOff>
      <xdr:row>6</xdr:row>
      <xdr:rowOff>7632</xdr:rowOff>
    </xdr:to>
    <xdr:pic>
      <xdr:nvPicPr>
        <xdr:cNvPr id="11" name="Picture 486" descr="D:\Bilder\Ergebnis.jpg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7666" y="1375833"/>
          <a:ext cx="612000" cy="621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7</xdr:row>
          <xdr:rowOff>292100</xdr:rowOff>
        </xdr:from>
        <xdr:to>
          <xdr:col>13</xdr:col>
          <xdr:colOff>901700</xdr:colOff>
          <xdr:row>9</xdr:row>
          <xdr:rowOff>190500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Ausgabe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38097</xdr:colOff>
      <xdr:row>1</xdr:row>
      <xdr:rowOff>28574</xdr:rowOff>
    </xdr:from>
    <xdr:to>
      <xdr:col>3</xdr:col>
      <xdr:colOff>400133</xdr:colOff>
      <xdr:row>2</xdr:row>
      <xdr:rowOff>297974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397" y="342899"/>
          <a:ext cx="1228811" cy="1260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723900</xdr:colOff>
      <xdr:row>1</xdr:row>
      <xdr:rowOff>38100</xdr:rowOff>
    </xdr:from>
    <xdr:to>
      <xdr:col>12</xdr:col>
      <xdr:colOff>50479</xdr:colOff>
      <xdr:row>2</xdr:row>
      <xdr:rowOff>286275</xdr:rowOff>
    </xdr:to>
    <xdr:pic>
      <xdr:nvPicPr>
        <xdr:cNvPr id="4" name="Grafik 7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15225" y="352425"/>
          <a:ext cx="1193479" cy="12578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10</xdr:col>
      <xdr:colOff>742950</xdr:colOff>
      <xdr:row>55</xdr:row>
      <xdr:rowOff>28575</xdr:rowOff>
    </xdr:from>
    <xdr:to>
      <xdr:col>12</xdr:col>
      <xdr:colOff>79001</xdr:colOff>
      <xdr:row>56</xdr:row>
      <xdr:rowOff>285750</xdr:rowOff>
    </xdr:to>
    <xdr:pic>
      <xdr:nvPicPr>
        <xdr:cNvPr id="6" name="Grafik 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3258800"/>
          <a:ext cx="917201" cy="10763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oneCellAnchor>
    <xdr:from>
      <xdr:col>1</xdr:col>
      <xdr:colOff>57146</xdr:colOff>
      <xdr:row>55</xdr:row>
      <xdr:rowOff>28574</xdr:rowOff>
    </xdr:from>
    <xdr:ext cx="1228812" cy="1260000"/>
    <xdr:pic>
      <xdr:nvPicPr>
        <xdr:cNvPr id="8" name="Grafik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46" y="13230224"/>
          <a:ext cx="1228812" cy="1260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10</xdr:col>
      <xdr:colOff>676275</xdr:colOff>
      <xdr:row>55</xdr:row>
      <xdr:rowOff>28575</xdr:rowOff>
    </xdr:from>
    <xdr:to>
      <xdr:col>12</xdr:col>
      <xdr:colOff>5845</xdr:colOff>
      <xdr:row>56</xdr:row>
      <xdr:rowOff>278925</xdr:rowOff>
    </xdr:to>
    <xdr:pic>
      <xdr:nvPicPr>
        <xdr:cNvPr id="9" name="Grafik 7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3258800"/>
          <a:ext cx="1196470" cy="12409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177800</xdr:colOff>
          <xdr:row>1</xdr:row>
          <xdr:rowOff>177800</xdr:rowOff>
        </xdr:from>
        <xdr:to>
          <xdr:col>16</xdr:col>
          <xdr:colOff>533400</xdr:colOff>
          <xdr:row>1</xdr:row>
          <xdr:rowOff>596900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3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Menü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177800</xdr:colOff>
          <xdr:row>1</xdr:row>
          <xdr:rowOff>711200</xdr:rowOff>
        </xdr:from>
        <xdr:to>
          <xdr:col>16</xdr:col>
          <xdr:colOff>558800</xdr:colOff>
          <xdr:row>2</xdr:row>
          <xdr:rowOff>139700</xdr:rowOff>
        </xdr:to>
        <xdr:sp macro="" textlink="">
          <xdr:nvSpPr>
            <xdr:cNvPr id="13327" name="Button 15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id="{00000000-0008-0000-0300-00000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Ergebnisse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177800</xdr:colOff>
          <xdr:row>2</xdr:row>
          <xdr:rowOff>254000</xdr:rowOff>
        </xdr:from>
        <xdr:to>
          <xdr:col>16</xdr:col>
          <xdr:colOff>558800</xdr:colOff>
          <xdr:row>4</xdr:row>
          <xdr:rowOff>304800</xdr:rowOff>
        </xdr:to>
        <xdr:sp macro="" textlink="">
          <xdr:nvSpPr>
            <xdr:cNvPr id="13328" name="Button 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3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Eingaben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177800</xdr:colOff>
          <xdr:row>6</xdr:row>
          <xdr:rowOff>76200</xdr:rowOff>
        </xdr:from>
        <xdr:to>
          <xdr:col>16</xdr:col>
          <xdr:colOff>558800</xdr:colOff>
          <xdr:row>8</xdr:row>
          <xdr:rowOff>139700</xdr:rowOff>
        </xdr:to>
        <xdr:sp macro="" textlink="">
          <xdr:nvSpPr>
            <xdr:cNvPr id="13329" name="Button 17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3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E-Mobilität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28575</xdr:colOff>
      <xdr:row>66</xdr:row>
      <xdr:rowOff>28605</xdr:rowOff>
    </xdr:from>
    <xdr:to>
      <xdr:col>11</xdr:col>
      <xdr:colOff>895350</xdr:colOff>
      <xdr:row>73</xdr:row>
      <xdr:rowOff>219074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11</xdr:row>
          <xdr:rowOff>177800</xdr:rowOff>
        </xdr:from>
        <xdr:to>
          <xdr:col>16</xdr:col>
          <xdr:colOff>571500</xdr:colOff>
          <xdr:row>13</xdr:row>
          <xdr:rowOff>215900</xdr:rowOff>
        </xdr:to>
        <xdr:sp macro="" textlink="">
          <xdr:nvSpPr>
            <xdr:cNvPr id="13333" name="Button 21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id="{00000000-0008-0000-03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Drucken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177800</xdr:colOff>
          <xdr:row>1</xdr:row>
          <xdr:rowOff>139700</xdr:rowOff>
        </xdr:from>
        <xdr:to>
          <xdr:col>7</xdr:col>
          <xdr:colOff>558800</xdr:colOff>
          <xdr:row>2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4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Menü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177800</xdr:colOff>
          <xdr:row>2</xdr:row>
          <xdr:rowOff>292100</xdr:rowOff>
        </xdr:from>
        <xdr:to>
          <xdr:col>7</xdr:col>
          <xdr:colOff>558800</xdr:colOff>
          <xdr:row>4</xdr:row>
          <xdr:rowOff>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4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Ergebnisse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177800</xdr:colOff>
          <xdr:row>4</xdr:row>
          <xdr:rowOff>139700</xdr:rowOff>
        </xdr:from>
        <xdr:to>
          <xdr:col>7</xdr:col>
          <xdr:colOff>558800</xdr:colOff>
          <xdr:row>5</xdr:row>
          <xdr:rowOff>215900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4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Eingaben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177800</xdr:colOff>
          <xdr:row>6</xdr:row>
          <xdr:rowOff>25400</xdr:rowOff>
        </xdr:from>
        <xdr:to>
          <xdr:col>7</xdr:col>
          <xdr:colOff>558800</xdr:colOff>
          <xdr:row>7</xdr:row>
          <xdr:rowOff>101600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4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Ausgabe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177800</xdr:colOff>
          <xdr:row>1</xdr:row>
          <xdr:rowOff>177800</xdr:rowOff>
        </xdr:from>
        <xdr:to>
          <xdr:col>11</xdr:col>
          <xdr:colOff>558800</xdr:colOff>
          <xdr:row>2</xdr:row>
          <xdr:rowOff>254000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Menü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1</xdr:row>
          <xdr:rowOff>139700</xdr:rowOff>
        </xdr:from>
        <xdr:to>
          <xdr:col>10</xdr:col>
          <xdr:colOff>558800</xdr:colOff>
          <xdr:row>2</xdr:row>
          <xdr:rowOff>254000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 pitchFamily="2" charset="0"/>
                  <a:cs typeface="Arial" pitchFamily="2" charset="0"/>
                </a:rPr>
                <a:t>Menü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ref-1und1-02.de/mail/client/HdQKkwjJOtM/dereferrer/?redirectUrl=https%3A%2F%2Fwww.bundesfinanzministerium.de%2FContent%2FDE%2FFAQ%2Ffoerderung-photovoltaikanlagen.htm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6"/>
  <dimension ref="B1:V34"/>
  <sheetViews>
    <sheetView showGridLines="0" zoomScale="83" zoomScaleNormal="83" workbookViewId="0">
      <selection activeCell="G33" sqref="G33"/>
    </sheetView>
  </sheetViews>
  <sheetFormatPr baseColWidth="10" defaultColWidth="10.6640625" defaultRowHeight="25.25" customHeight="1" x14ac:dyDescent="0.15"/>
  <cols>
    <col min="1" max="1" width="1.6640625" style="1" customWidth="1"/>
    <col min="2" max="16384" width="10.6640625" style="1"/>
  </cols>
  <sheetData>
    <row r="1" spans="2:22" ht="35" customHeight="1" x14ac:dyDescent="0.25">
      <c r="J1" s="393" t="s">
        <v>93</v>
      </c>
      <c r="K1" s="394"/>
      <c r="L1" s="394"/>
      <c r="M1" s="394"/>
    </row>
    <row r="2" spans="2:22" ht="15" customHeight="1" x14ac:dyDescent="0.2">
      <c r="B2" s="2"/>
      <c r="C2" s="2"/>
      <c r="D2" s="2"/>
      <c r="E2" s="2"/>
      <c r="F2" s="2"/>
      <c r="G2" s="2"/>
      <c r="H2" s="2"/>
      <c r="I2" s="2"/>
      <c r="J2" s="391" t="s">
        <v>91</v>
      </c>
      <c r="K2" s="392"/>
      <c r="L2" s="392"/>
      <c r="M2" s="392"/>
      <c r="N2" s="2"/>
      <c r="O2" s="2"/>
      <c r="P2" s="2"/>
      <c r="Q2" s="2"/>
      <c r="R2" s="2"/>
      <c r="S2" s="2"/>
      <c r="T2" s="2"/>
      <c r="U2" s="2"/>
      <c r="V2" s="2"/>
    </row>
    <row r="4" spans="2:22" ht="25.25" customHeight="1" thickBot="1" x14ac:dyDescent="0.2"/>
    <row r="5" spans="2:22" ht="25.25" customHeight="1" x14ac:dyDescent="0.15">
      <c r="F5" s="134"/>
      <c r="G5" s="192"/>
      <c r="H5" s="135"/>
      <c r="O5" s="134"/>
      <c r="P5" s="192"/>
      <c r="Q5" s="135"/>
    </row>
    <row r="6" spans="2:22" ht="25.25" customHeight="1" x14ac:dyDescent="0.15">
      <c r="F6" s="136"/>
      <c r="H6" s="137"/>
      <c r="O6" s="136"/>
      <c r="Q6" s="137"/>
    </row>
    <row r="7" spans="2:22" ht="25.25" customHeight="1" x14ac:dyDescent="0.15">
      <c r="F7" s="136"/>
      <c r="H7" s="137"/>
      <c r="O7" s="136"/>
      <c r="Q7" s="137"/>
    </row>
    <row r="8" spans="2:22" ht="25.25" customHeight="1" x14ac:dyDescent="0.15">
      <c r="F8" s="136"/>
      <c r="H8" s="137"/>
      <c r="O8" s="136"/>
      <c r="Q8" s="137"/>
    </row>
    <row r="9" spans="2:22" ht="25.25" customHeight="1" x14ac:dyDescent="0.15">
      <c r="F9" s="136"/>
      <c r="H9" s="137"/>
      <c r="O9" s="136"/>
      <c r="Q9" s="137"/>
    </row>
    <row r="10" spans="2:22" ht="25.25" customHeight="1" x14ac:dyDescent="0.15">
      <c r="F10" s="136"/>
      <c r="H10" s="137"/>
      <c r="O10" s="136"/>
      <c r="Q10" s="137"/>
    </row>
    <row r="11" spans="2:22" ht="25.25" customHeight="1" thickBot="1" x14ac:dyDescent="0.2">
      <c r="F11" s="138"/>
      <c r="G11" s="193"/>
      <c r="H11" s="139"/>
      <c r="O11" s="138"/>
      <c r="P11" s="193"/>
      <c r="Q11" s="139"/>
    </row>
    <row r="13" spans="2:22" ht="25.25" customHeight="1" x14ac:dyDescent="0.2">
      <c r="B13" s="2"/>
      <c r="C13" s="2"/>
      <c r="D13" s="2"/>
      <c r="E13" s="2"/>
      <c r="F13" s="2"/>
      <c r="G13" s="2"/>
      <c r="H13" s="2"/>
      <c r="I13" s="395" t="s">
        <v>92</v>
      </c>
      <c r="J13" s="396"/>
      <c r="K13" s="396"/>
      <c r="L13" s="396"/>
      <c r="M13" s="396"/>
      <c r="N13" s="396"/>
      <c r="O13" s="2"/>
      <c r="P13" s="2"/>
      <c r="Q13" s="2"/>
      <c r="R13" s="2"/>
      <c r="S13" s="2"/>
      <c r="T13" s="2"/>
      <c r="U13" s="2"/>
      <c r="V13" s="2"/>
    </row>
    <row r="15" spans="2:22" ht="25.25" customHeight="1" x14ac:dyDescent="0.15">
      <c r="G15" s="130" t="s">
        <v>65</v>
      </c>
      <c r="K15" s="128">
        <v>11.25</v>
      </c>
      <c r="M15" s="2" t="s">
        <v>66</v>
      </c>
      <c r="N15" s="2"/>
      <c r="O15" s="2"/>
      <c r="P15" s="2"/>
    </row>
    <row r="16" spans="2:22" ht="10.25" customHeight="1" x14ac:dyDescent="0.15"/>
    <row r="17" spans="6:20" ht="25.25" customHeight="1" x14ac:dyDescent="0.15">
      <c r="K17" s="127">
        <v>100</v>
      </c>
      <c r="M17" s="2" t="s">
        <v>77</v>
      </c>
      <c r="N17" s="2"/>
      <c r="O17" s="2"/>
      <c r="P17" s="2"/>
    </row>
    <row r="18" spans="6:20" ht="10.25" customHeight="1" x14ac:dyDescent="0.15"/>
    <row r="19" spans="6:20" ht="25.25" customHeight="1" x14ac:dyDescent="0.15">
      <c r="K19" s="126">
        <v>10</v>
      </c>
      <c r="M19" s="2" t="s">
        <v>64</v>
      </c>
      <c r="N19" s="2"/>
      <c r="O19" s="2"/>
      <c r="P19" s="2"/>
    </row>
    <row r="20" spans="6:20" ht="10.25" customHeight="1" x14ac:dyDescent="0.15"/>
    <row r="21" spans="6:20" ht="25.25" customHeight="1" x14ac:dyDescent="0.15">
      <c r="K21" s="125" t="s">
        <v>29</v>
      </c>
      <c r="M21" s="2" t="s">
        <v>76</v>
      </c>
      <c r="N21" s="2"/>
      <c r="O21" s="2"/>
      <c r="P21" s="2"/>
    </row>
    <row r="23" spans="6:20" ht="25.25" customHeight="1" x14ac:dyDescent="0.15">
      <c r="M23" s="2" t="s">
        <v>73</v>
      </c>
      <c r="N23" s="2"/>
      <c r="O23" s="2"/>
      <c r="P23" s="2"/>
    </row>
    <row r="24" spans="6:20" ht="10.25" customHeight="1" x14ac:dyDescent="0.15"/>
    <row r="25" spans="6:20" ht="25.25" customHeight="1" x14ac:dyDescent="0.2">
      <c r="K25" s="165">
        <v>16.510000000000002</v>
      </c>
      <c r="M25" s="2" t="s">
        <v>87</v>
      </c>
      <c r="N25" s="2"/>
      <c r="O25" s="2"/>
      <c r="P25" s="2"/>
    </row>
    <row r="27" spans="6:20" ht="25.25" customHeight="1" x14ac:dyDescent="0.2">
      <c r="G27" s="354" t="s">
        <v>226</v>
      </c>
      <c r="H27" s="352"/>
      <c r="I27" s="353"/>
      <c r="J27" s="353"/>
      <c r="K27" s="353"/>
      <c r="L27" s="353"/>
      <c r="T27" s="166"/>
    </row>
    <row r="28" spans="6:20" ht="25.25" customHeight="1" x14ac:dyDescent="0.2">
      <c r="F28" s="352"/>
      <c r="G28" s="352" t="s">
        <v>274</v>
      </c>
      <c r="H28" s="352"/>
      <c r="I28" s="352"/>
      <c r="J28" s="352"/>
      <c r="K28" s="352"/>
      <c r="L28" s="352"/>
      <c r="M28" s="352"/>
    </row>
    <row r="29" spans="6:20" ht="25.25" customHeight="1" x14ac:dyDescent="0.2">
      <c r="G29" s="352" t="s">
        <v>227</v>
      </c>
      <c r="H29" s="352"/>
      <c r="I29" s="353"/>
      <c r="J29" s="353"/>
      <c r="K29" s="353"/>
      <c r="L29" s="353"/>
    </row>
    <row r="30" spans="6:20" ht="25.25" customHeight="1" x14ac:dyDescent="0.2">
      <c r="G30" s="352" t="s">
        <v>229</v>
      </c>
    </row>
    <row r="31" spans="6:20" ht="25.25" customHeight="1" x14ac:dyDescent="0.2">
      <c r="G31" s="352" t="s">
        <v>228</v>
      </c>
    </row>
    <row r="32" spans="6:20" ht="25.25" customHeight="1" x14ac:dyDescent="0.2">
      <c r="G32" s="352" t="s">
        <v>275</v>
      </c>
    </row>
    <row r="33" spans="7:22" ht="25.25" customHeight="1" x14ac:dyDescent="0.2">
      <c r="G33" s="352" t="s">
        <v>232</v>
      </c>
    </row>
    <row r="34" spans="7:22" ht="25.25" customHeight="1" x14ac:dyDescent="0.25">
      <c r="G34" s="355" t="s">
        <v>231</v>
      </c>
      <c r="H34" s="356"/>
      <c r="I34" s="356"/>
      <c r="J34" s="356"/>
      <c r="K34" s="357" t="s">
        <v>230</v>
      </c>
      <c r="M34" s="356"/>
      <c r="N34" s="356"/>
      <c r="O34" s="356"/>
      <c r="P34" s="356"/>
      <c r="Q34" s="356"/>
      <c r="R34" s="356"/>
      <c r="S34" s="356"/>
      <c r="T34" s="356"/>
      <c r="U34" s="356"/>
      <c r="V34" s="356"/>
    </row>
  </sheetData>
  <sheetProtection algorithmName="SHA-512" hashValue="JV0TCPggMeKGjRxMvS2GUuBZqA7apmZK9Os2SHVWlchreIA4TAfytgSr68RzoSQjyngpUeMGF85quycReyeCug==" saltValue="V31nLKBTsicaBm4MHrNKsg==" spinCount="100000" sheet="1" objects="1" scenarios="1"/>
  <mergeCells count="3">
    <mergeCell ref="J2:M2"/>
    <mergeCell ref="J1:M1"/>
    <mergeCell ref="I13:N13"/>
  </mergeCells>
  <dataValidations count="1">
    <dataValidation type="list" allowBlank="1" showInputMessage="1" showErrorMessage="1" sqref="K21" xr:uid="{00000000-0002-0000-0000-000000000000}">
      <formula1>SteuerM</formula1>
    </dataValidation>
  </dataValidations>
  <hyperlinks>
    <hyperlink ref="K34" r:id="rId1" display="https://deref-1und1-02.de/mail/client/HdQKkwjJOtM/dereferrer/?redirectUrl=https%3A%2F%2Fwww.bundesfinanzministerium.de%2FContent%2FDE%2FFAQ%2Ffoerderung-photovoltaikanlagen.html" xr:uid="{00000000-0004-0000-0000-000000000000}"/>
  </hyperlinks>
  <pageMargins left="0.7" right="0.7" top="0.78740157499999996" bottom="0.78740157499999996" header="0.3" footer="0.3"/>
  <pageSetup paperSize="9" orientation="portrait" horizontalDpi="4294967293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Button 1">
              <controlPr defaultSize="0" print="0" autoFill="0" autoPict="0" macro="[0]!Ergebnisse">
                <anchor moveWithCells="1" sizeWithCells="1">
                  <from>
                    <xdr:col>9</xdr:col>
                    <xdr:colOff>558800</xdr:colOff>
                    <xdr:row>6</xdr:row>
                    <xdr:rowOff>114300</xdr:rowOff>
                  </from>
                  <to>
                    <xdr:col>12</xdr:col>
                    <xdr:colOff>215900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6" name="Button 2">
              <controlPr defaultSize="0" print="0" autoFill="0" autoPict="0" macro="[0]!E_Mob">
                <anchor moveWithCells="1" sizeWithCells="1">
                  <from>
                    <xdr:col>9</xdr:col>
                    <xdr:colOff>558800</xdr:colOff>
                    <xdr:row>8</xdr:row>
                    <xdr:rowOff>101600</xdr:rowOff>
                  </from>
                  <to>
                    <xdr:col>12</xdr:col>
                    <xdr:colOff>215900</xdr:colOff>
                    <xdr:row>9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7" name="Button 3">
              <controlPr defaultSize="0" print="0" autoFill="0" autoPict="0" macro="[0]!Eingaben">
                <anchor moveWithCells="1" sizeWithCells="1">
                  <from>
                    <xdr:col>9</xdr:col>
                    <xdr:colOff>558800</xdr:colOff>
                    <xdr:row>4</xdr:row>
                    <xdr:rowOff>139700</xdr:rowOff>
                  </from>
                  <to>
                    <xdr:col>12</xdr:col>
                    <xdr:colOff>215900</xdr:colOff>
                    <xdr:row>5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8" name="Button 4">
              <controlPr defaultSize="0" print="0" autoFill="0" autoPict="0" macro="[0]!ausgabe">
                <anchor moveWithCells="1" sizeWithCells="1">
                  <from>
                    <xdr:col>9</xdr:col>
                    <xdr:colOff>558800</xdr:colOff>
                    <xdr:row>10</xdr:row>
                    <xdr:rowOff>63500</xdr:rowOff>
                  </from>
                  <to>
                    <xdr:col>12</xdr:col>
                    <xdr:colOff>215900</xdr:colOff>
                    <xdr:row>11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9" name="Button 7">
              <controlPr defaultSize="0" print="0" autoFill="0" autoPict="0" macro="[0]!revision">
                <anchor moveWithCells="1" sizeWithCells="1">
                  <from>
                    <xdr:col>18</xdr:col>
                    <xdr:colOff>254000</xdr:colOff>
                    <xdr:row>10</xdr:row>
                    <xdr:rowOff>25400</xdr:rowOff>
                  </from>
                  <to>
                    <xdr:col>20</xdr:col>
                    <xdr:colOff>635000</xdr:colOff>
                    <xdr:row>11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>
    <pageSetUpPr fitToPage="1"/>
  </sheetPr>
  <dimension ref="B1:S76"/>
  <sheetViews>
    <sheetView showGridLines="0" tabSelected="1" topLeftCell="A45" zoomScale="125" zoomScaleNormal="125" workbookViewId="0">
      <selection activeCell="J29" sqref="J29"/>
    </sheetView>
  </sheetViews>
  <sheetFormatPr baseColWidth="10" defaultColWidth="10.6640625" defaultRowHeight="25.25" customHeight="1" x14ac:dyDescent="0.15"/>
  <cols>
    <col min="1" max="2" width="1.6640625" style="1" customWidth="1"/>
    <col min="3" max="3" width="5.6640625" style="1" customWidth="1"/>
    <col min="4" max="4" width="30.6640625" style="1" customWidth="1"/>
    <col min="5" max="6" width="10.6640625" style="1"/>
    <col min="7" max="7" width="11.6640625" style="1" customWidth="1"/>
    <col min="8" max="8" width="10.6640625" style="1"/>
    <col min="9" max="10" width="15.6640625" style="1" customWidth="1"/>
    <col min="11" max="12" width="1.6640625" style="1" customWidth="1"/>
    <col min="13" max="20" width="10.6640625" style="1" customWidth="1"/>
    <col min="21" max="22" width="1.6640625" style="1" customWidth="1"/>
    <col min="23" max="16384" width="10.6640625" style="1"/>
  </cols>
  <sheetData>
    <row r="1" spans="2:19" ht="40.25" customHeight="1" thickBot="1" x14ac:dyDescent="0.25">
      <c r="B1" s="133" t="s">
        <v>63</v>
      </c>
      <c r="I1" s="20"/>
      <c r="J1" s="194" t="s">
        <v>91</v>
      </c>
    </row>
    <row r="2" spans="2:19" ht="30" customHeight="1" x14ac:dyDescent="0.2">
      <c r="B2" s="3"/>
      <c r="C2" s="43">
        <v>1</v>
      </c>
      <c r="D2" s="44" t="s">
        <v>276</v>
      </c>
      <c r="E2" s="17"/>
      <c r="F2" s="17"/>
      <c r="G2" s="17"/>
      <c r="H2" s="17"/>
      <c r="I2" s="17"/>
      <c r="J2" s="48" t="s">
        <v>4</v>
      </c>
      <c r="K2" s="4"/>
      <c r="L2" s="5"/>
      <c r="M2" s="72"/>
      <c r="N2" s="3"/>
      <c r="O2" s="64"/>
      <c r="P2" s="4"/>
    </row>
    <row r="3" spans="2:19" ht="10.25" customHeight="1" x14ac:dyDescent="0.15">
      <c r="B3" s="5"/>
      <c r="D3" s="9"/>
      <c r="E3" s="9"/>
      <c r="F3" s="9"/>
      <c r="G3" s="9"/>
      <c r="H3" s="9"/>
      <c r="I3" s="9"/>
      <c r="J3" s="9"/>
      <c r="K3" s="6"/>
      <c r="N3" s="5"/>
      <c r="P3" s="6"/>
    </row>
    <row r="4" spans="2:19" ht="28.25" customHeight="1" x14ac:dyDescent="0.2">
      <c r="B4" s="5"/>
      <c r="D4" s="7" t="s">
        <v>78</v>
      </c>
      <c r="E4" s="2"/>
      <c r="F4" s="2"/>
      <c r="G4" s="2"/>
      <c r="H4" s="8"/>
      <c r="I4" s="8" t="s">
        <v>0</v>
      </c>
      <c r="J4" s="310">
        <v>7.38</v>
      </c>
      <c r="K4" s="6"/>
      <c r="N4" s="124"/>
      <c r="O4" s="69"/>
      <c r="P4" s="114"/>
      <c r="Q4" s="70"/>
      <c r="R4" s="71"/>
      <c r="S4" s="70"/>
    </row>
    <row r="5" spans="2:19" ht="10.25" customHeight="1" x14ac:dyDescent="0.15">
      <c r="B5" s="5"/>
      <c r="D5" s="10"/>
      <c r="E5" s="9"/>
      <c r="F5" s="9"/>
      <c r="G5" s="9"/>
      <c r="H5" s="11"/>
      <c r="I5" s="11"/>
      <c r="J5" s="12"/>
      <c r="K5" s="6"/>
      <c r="N5" s="5"/>
      <c r="P5" s="6"/>
    </row>
    <row r="6" spans="2:19" ht="28.25" customHeight="1" x14ac:dyDescent="0.15">
      <c r="B6" s="5"/>
      <c r="D6" s="7" t="s">
        <v>19</v>
      </c>
      <c r="E6" s="2"/>
      <c r="F6" s="2"/>
      <c r="G6" s="2"/>
      <c r="H6" s="8"/>
      <c r="I6" s="8" t="s">
        <v>20</v>
      </c>
      <c r="J6" s="195">
        <v>0</v>
      </c>
      <c r="K6" s="6"/>
      <c r="N6" s="5"/>
      <c r="P6" s="6"/>
    </row>
    <row r="7" spans="2:19" ht="10.25" customHeight="1" x14ac:dyDescent="0.15">
      <c r="B7" s="5"/>
      <c r="D7" s="35"/>
      <c r="H7" s="36"/>
      <c r="I7" s="36"/>
      <c r="J7" s="33"/>
      <c r="K7" s="6"/>
      <c r="N7" s="5"/>
      <c r="P7" s="6"/>
    </row>
    <row r="8" spans="2:19" ht="28.25" customHeight="1" x14ac:dyDescent="0.15">
      <c r="B8" s="5"/>
      <c r="D8" s="7" t="s">
        <v>1</v>
      </c>
      <c r="E8" s="2"/>
      <c r="F8" s="2"/>
      <c r="G8" s="2"/>
      <c r="H8" s="2"/>
      <c r="I8" s="8" t="s">
        <v>2</v>
      </c>
      <c r="J8" s="196">
        <v>2E-3</v>
      </c>
      <c r="K8" s="6"/>
      <c r="N8" s="5"/>
      <c r="P8" s="6"/>
    </row>
    <row r="9" spans="2:19" ht="10.25" customHeight="1" x14ac:dyDescent="0.15">
      <c r="B9" s="5"/>
      <c r="K9" s="6"/>
      <c r="N9" s="5"/>
      <c r="P9" s="6"/>
    </row>
    <row r="10" spans="2:19" ht="28.25" customHeight="1" x14ac:dyDescent="0.2">
      <c r="B10" s="5"/>
      <c r="D10" s="7" t="s">
        <v>79</v>
      </c>
      <c r="E10" s="2"/>
      <c r="F10" s="2"/>
      <c r="G10" s="2"/>
      <c r="H10" s="2"/>
      <c r="I10" s="8" t="s">
        <v>3</v>
      </c>
      <c r="J10" s="197">
        <v>750</v>
      </c>
      <c r="K10" s="6"/>
      <c r="N10" s="5"/>
      <c r="P10" s="6"/>
    </row>
    <row r="11" spans="2:19" ht="10.25" customHeight="1" thickBot="1" x14ac:dyDescent="0.2">
      <c r="B11" s="5"/>
      <c r="K11" s="6"/>
      <c r="N11" s="19"/>
      <c r="O11" s="20"/>
      <c r="P11" s="42"/>
    </row>
    <row r="12" spans="2:19" ht="28.25" customHeight="1" x14ac:dyDescent="0.15">
      <c r="B12" s="5"/>
      <c r="D12" s="7" t="s">
        <v>211</v>
      </c>
      <c r="E12" s="2"/>
      <c r="F12" s="2"/>
      <c r="G12" s="2"/>
      <c r="H12" s="2"/>
      <c r="I12" s="8" t="s">
        <v>5</v>
      </c>
      <c r="J12" s="198">
        <v>0.26100000000000001</v>
      </c>
      <c r="K12" s="6"/>
    </row>
    <row r="13" spans="2:19" ht="10.25" customHeight="1" x14ac:dyDescent="0.15">
      <c r="B13" s="5"/>
      <c r="K13" s="6"/>
    </row>
    <row r="14" spans="2:19" ht="28.25" customHeight="1" x14ac:dyDescent="0.15">
      <c r="B14" s="5"/>
      <c r="D14" s="7" t="s">
        <v>212</v>
      </c>
      <c r="E14" s="2"/>
      <c r="F14" s="2"/>
      <c r="G14" s="2"/>
      <c r="H14" s="2"/>
      <c r="I14" s="8" t="s">
        <v>7</v>
      </c>
      <c r="J14" s="197">
        <v>2505</v>
      </c>
      <c r="K14" s="6"/>
    </row>
    <row r="15" spans="2:19" ht="10.25" customHeight="1" x14ac:dyDescent="0.15">
      <c r="B15" s="5"/>
      <c r="K15" s="6"/>
    </row>
    <row r="16" spans="2:19" ht="10.25" customHeight="1" x14ac:dyDescent="0.15">
      <c r="B16" s="5"/>
      <c r="K16" s="6"/>
    </row>
    <row r="17" spans="2:11" ht="30" customHeight="1" x14ac:dyDescent="0.2">
      <c r="B17" s="5"/>
      <c r="C17" s="45">
        <v>2</v>
      </c>
      <c r="D17" s="46" t="s">
        <v>6</v>
      </c>
      <c r="E17" s="14"/>
      <c r="F17" s="14"/>
      <c r="G17" s="14"/>
      <c r="H17" s="14"/>
      <c r="I17" s="14"/>
      <c r="J17" s="47" t="s">
        <v>4</v>
      </c>
      <c r="K17" s="6"/>
    </row>
    <row r="18" spans="2:11" ht="10.25" customHeight="1" x14ac:dyDescent="0.15">
      <c r="B18" s="5"/>
      <c r="K18" s="6"/>
    </row>
    <row r="19" spans="2:11" ht="28.25" customHeight="1" x14ac:dyDescent="0.15">
      <c r="B19" s="5"/>
      <c r="D19" s="7" t="s">
        <v>90</v>
      </c>
      <c r="E19" s="2"/>
      <c r="F19" s="2"/>
      <c r="G19" s="2"/>
      <c r="H19" s="2"/>
      <c r="I19" s="8" t="s">
        <v>7</v>
      </c>
      <c r="J19" s="199">
        <v>3800</v>
      </c>
      <c r="K19" s="6"/>
    </row>
    <row r="20" spans="2:11" ht="10.25" customHeight="1" x14ac:dyDescent="0.15">
      <c r="B20" s="5"/>
      <c r="K20" s="6"/>
    </row>
    <row r="21" spans="2:11" ht="28.25" customHeight="1" x14ac:dyDescent="0.15">
      <c r="B21" s="5"/>
      <c r="D21" s="7" t="s">
        <v>95</v>
      </c>
      <c r="E21" s="2"/>
      <c r="F21" s="2"/>
      <c r="G21" s="2"/>
      <c r="H21" s="2"/>
      <c r="I21" s="8" t="s">
        <v>7</v>
      </c>
      <c r="J21" s="197">
        <v>0</v>
      </c>
      <c r="K21" s="6"/>
    </row>
    <row r="22" spans="2:11" ht="10.25" customHeight="1" x14ac:dyDescent="0.15">
      <c r="B22" s="5"/>
      <c r="K22" s="6"/>
    </row>
    <row r="23" spans="2:11" ht="28.25" customHeight="1" x14ac:dyDescent="0.15">
      <c r="B23" s="5"/>
      <c r="D23" s="7" t="s">
        <v>210</v>
      </c>
      <c r="E23" s="2"/>
      <c r="F23" s="2"/>
      <c r="G23" s="2"/>
      <c r="H23" s="2"/>
      <c r="I23" s="8"/>
      <c r="J23" s="351">
        <v>0</v>
      </c>
      <c r="K23" s="6"/>
    </row>
    <row r="24" spans="2:11" ht="28.25" customHeight="1" x14ac:dyDescent="0.15">
      <c r="B24" s="5"/>
      <c r="D24" s="7" t="s">
        <v>86</v>
      </c>
      <c r="E24" s="2"/>
      <c r="F24" s="2"/>
      <c r="G24" s="2"/>
      <c r="H24" s="2"/>
      <c r="I24" s="8" t="s">
        <v>7</v>
      </c>
      <c r="J24" s="49">
        <f>IF(Status_EA&gt;0,EA_zuhause_laden,0)</f>
        <v>0</v>
      </c>
      <c r="K24" s="6"/>
    </row>
    <row r="25" spans="2:11" ht="10.25" customHeight="1" x14ac:dyDescent="0.15">
      <c r="B25" s="5"/>
      <c r="K25" s="6"/>
    </row>
    <row r="26" spans="2:11" ht="30" customHeight="1" x14ac:dyDescent="0.2">
      <c r="B26" s="5"/>
      <c r="C26" s="45">
        <v>3</v>
      </c>
      <c r="D26" s="46" t="s">
        <v>8</v>
      </c>
      <c r="E26" s="14"/>
      <c r="F26" s="14"/>
      <c r="G26" s="14"/>
      <c r="H26" s="14"/>
      <c r="I26" s="14"/>
      <c r="J26" s="47" t="s">
        <v>4</v>
      </c>
      <c r="K26" s="6"/>
    </row>
    <row r="27" spans="2:11" ht="10.25" customHeight="1" x14ac:dyDescent="0.15">
      <c r="B27" s="5"/>
      <c r="K27" s="6"/>
    </row>
    <row r="28" spans="2:11" ht="28.25" customHeight="1" x14ac:dyDescent="0.15">
      <c r="B28" s="5"/>
      <c r="D28" s="7" t="s">
        <v>80</v>
      </c>
      <c r="E28" s="2"/>
      <c r="F28" s="2"/>
      <c r="G28" s="2"/>
      <c r="H28" s="2"/>
      <c r="I28" s="8" t="s">
        <v>9</v>
      </c>
      <c r="J28" s="195">
        <v>45</v>
      </c>
      <c r="K28" s="6"/>
    </row>
    <row r="29" spans="2:11" ht="10.25" customHeight="1" x14ac:dyDescent="0.15">
      <c r="B29" s="5"/>
      <c r="K29" s="6"/>
    </row>
    <row r="30" spans="2:11" ht="28.25" customHeight="1" x14ac:dyDescent="0.15">
      <c r="B30" s="5"/>
      <c r="D30" s="7" t="s">
        <v>96</v>
      </c>
      <c r="E30" s="2"/>
      <c r="F30" s="2"/>
      <c r="G30" s="2"/>
      <c r="H30" s="2"/>
      <c r="I30" s="8" t="s">
        <v>9</v>
      </c>
      <c r="J30" s="195">
        <v>0</v>
      </c>
      <c r="K30" s="6"/>
    </row>
    <row r="31" spans="2:11" ht="10.25" customHeight="1" x14ac:dyDescent="0.15">
      <c r="B31" s="5"/>
      <c r="K31" s="6"/>
    </row>
    <row r="32" spans="2:11" ht="28.25" customHeight="1" x14ac:dyDescent="0.15">
      <c r="B32" s="5"/>
      <c r="D32" s="7" t="s">
        <v>239</v>
      </c>
      <c r="E32" s="2"/>
      <c r="F32" s="2"/>
      <c r="G32" s="2"/>
      <c r="H32" s="2"/>
      <c r="I32" s="8" t="s">
        <v>32</v>
      </c>
      <c r="J32" s="195">
        <v>0</v>
      </c>
      <c r="K32" s="6"/>
    </row>
    <row r="33" spans="2:11" ht="10.25" customHeight="1" x14ac:dyDescent="0.15">
      <c r="B33" s="5"/>
      <c r="K33" s="6"/>
    </row>
    <row r="34" spans="2:11" ht="28.25" customHeight="1" x14ac:dyDescent="0.15">
      <c r="B34" s="5"/>
      <c r="D34" s="7" t="s">
        <v>149</v>
      </c>
      <c r="E34" s="2"/>
      <c r="F34" s="2"/>
      <c r="G34" s="2"/>
      <c r="H34" s="2"/>
      <c r="I34" s="8" t="s">
        <v>33</v>
      </c>
      <c r="J34" s="370" t="str">
        <f>IF(Strom_WP=0,"---",IF(Strom_WP*(1-SolDeck)*(Strompreis_HH-Strompreis_WP)/100&gt;Grundgebühr_WP,"Kaskade","Ein Zähler"))</f>
        <v>---</v>
      </c>
      <c r="K34" s="6"/>
    </row>
    <row r="35" spans="2:11" ht="10.25" customHeight="1" x14ac:dyDescent="0.15">
      <c r="B35" s="5"/>
      <c r="K35" s="6"/>
    </row>
    <row r="36" spans="2:11" ht="28.25" customHeight="1" x14ac:dyDescent="0.15">
      <c r="B36" s="5"/>
      <c r="D36" s="7" t="s">
        <v>10</v>
      </c>
      <c r="E36" s="2"/>
      <c r="F36" s="2"/>
      <c r="G36" s="2"/>
      <c r="H36" s="2"/>
      <c r="I36" s="8" t="s">
        <v>2</v>
      </c>
      <c r="J36" s="200">
        <v>0.02</v>
      </c>
      <c r="K36" s="6"/>
    </row>
    <row r="37" spans="2:11" ht="10.25" customHeight="1" x14ac:dyDescent="0.15">
      <c r="B37" s="5"/>
      <c r="K37" s="6"/>
    </row>
    <row r="38" spans="2:11" ht="28.25" customHeight="1" x14ac:dyDescent="0.15">
      <c r="B38" s="5"/>
      <c r="D38" s="7" t="s">
        <v>277</v>
      </c>
      <c r="E38" s="2"/>
      <c r="F38" s="2"/>
      <c r="G38" s="2"/>
      <c r="H38" s="2"/>
      <c r="I38" s="8" t="s">
        <v>18</v>
      </c>
      <c r="J38" s="371">
        <v>45184</v>
      </c>
      <c r="K38" s="6"/>
    </row>
    <row r="39" spans="2:11" ht="10.25" customHeight="1" x14ac:dyDescent="0.15">
      <c r="B39" s="5"/>
      <c r="K39" s="6"/>
    </row>
    <row r="40" spans="2:11" ht="28.25" customHeight="1" x14ac:dyDescent="0.15">
      <c r="B40" s="5"/>
      <c r="D40" s="7" t="s">
        <v>278</v>
      </c>
      <c r="E40" s="37" t="str">
        <f>IF(J38="","--",TEXT(J38,"MMM"))</f>
        <v>Sep</v>
      </c>
      <c r="F40" s="37">
        <f>IF(J38="","--",YEAR(J38))</f>
        <v>2023</v>
      </c>
      <c r="G40" s="7" t="s">
        <v>14</v>
      </c>
      <c r="H40" s="2"/>
      <c r="I40" s="8" t="s">
        <v>9</v>
      </c>
      <c r="J40" s="40">
        <f>IFERROR(LOOKUP(2,1/(Daten!D4:D63&amp;Daten!E4:E63=F40&amp;E40),Daten!F4:F63),"--")</f>
        <v>8.1999999999999993</v>
      </c>
      <c r="K40" s="6"/>
    </row>
    <row r="41" spans="2:11" ht="28.25" customHeight="1" x14ac:dyDescent="0.15">
      <c r="B41" s="5"/>
      <c r="G41" s="39" t="s">
        <v>15</v>
      </c>
      <c r="H41" s="21"/>
      <c r="I41" s="38" t="s">
        <v>9</v>
      </c>
      <c r="J41" s="41">
        <f>IFERROR(LOOKUP(2,1/(Daten!D4:D63&amp;Daten!E4:E63=F40&amp;E40),Daten!G4:G63),"--")</f>
        <v>7.1</v>
      </c>
      <c r="K41" s="6"/>
    </row>
    <row r="42" spans="2:11" ht="28.25" customHeight="1" x14ac:dyDescent="0.15">
      <c r="B42" s="5"/>
      <c r="G42" s="39" t="s">
        <v>16</v>
      </c>
      <c r="H42" s="21"/>
      <c r="I42" s="38" t="s">
        <v>9</v>
      </c>
      <c r="J42" s="41">
        <f>IFERROR(LOOKUP(2,1/(Daten!D4:D63&amp;Daten!E4:E63=F40&amp;E40),Daten!H4:H63),"--")</f>
        <v>5.8</v>
      </c>
      <c r="K42" s="6"/>
    </row>
    <row r="43" spans="2:11" ht="10.25" customHeight="1" x14ac:dyDescent="0.15">
      <c r="B43" s="5"/>
      <c r="I43" s="9"/>
      <c r="K43" s="6"/>
    </row>
    <row r="44" spans="2:11" ht="28.25" customHeight="1" x14ac:dyDescent="0.15">
      <c r="B44" s="5"/>
      <c r="G44" s="7" t="s">
        <v>53</v>
      </c>
      <c r="H44" s="2"/>
      <c r="I44" s="8" t="s">
        <v>9</v>
      </c>
      <c r="J44" s="40">
        <f>EEG_Verg_10*Daten!F100+EEG_Verg_10_40*Daten!F101+EEG_Verg_40_750*Daten!F102</f>
        <v>8.1999999999999993</v>
      </c>
      <c r="K44" s="6"/>
    </row>
    <row r="45" spans="2:11" ht="10.25" customHeight="1" x14ac:dyDescent="0.15">
      <c r="B45" s="5"/>
      <c r="K45" s="6"/>
    </row>
    <row r="46" spans="2:11" ht="10.25" customHeight="1" x14ac:dyDescent="0.15">
      <c r="B46" s="5"/>
      <c r="K46" s="6"/>
    </row>
    <row r="47" spans="2:11" ht="28.25" customHeight="1" x14ac:dyDescent="0.15">
      <c r="B47" s="5"/>
      <c r="D47" s="7" t="s">
        <v>97</v>
      </c>
      <c r="E47" s="2"/>
      <c r="F47" s="2"/>
      <c r="G47" s="2"/>
      <c r="H47" s="2"/>
      <c r="I47" s="8" t="s">
        <v>5</v>
      </c>
      <c r="J47" s="388">
        <f xml:space="preserve"> 19%</f>
        <v>0.19</v>
      </c>
      <c r="K47" s="6"/>
    </row>
    <row r="48" spans="2:11" ht="10.25" customHeight="1" thickBot="1" x14ac:dyDescent="0.2">
      <c r="B48" s="19"/>
      <c r="C48" s="20"/>
      <c r="D48" s="20"/>
      <c r="E48" s="20"/>
      <c r="F48" s="20"/>
      <c r="G48" s="20"/>
      <c r="H48" s="20"/>
      <c r="I48" s="20"/>
      <c r="J48" s="20"/>
      <c r="K48" s="42"/>
    </row>
    <row r="49" spans="2:11" ht="30" customHeight="1" x14ac:dyDescent="0.2">
      <c r="B49" s="3"/>
      <c r="C49" s="16">
        <v>4</v>
      </c>
      <c r="D49" s="44" t="s">
        <v>21</v>
      </c>
      <c r="E49" s="17"/>
      <c r="F49" s="17"/>
      <c r="G49" s="17"/>
      <c r="H49" s="17"/>
      <c r="I49" s="17"/>
      <c r="J49" s="18"/>
      <c r="K49" s="4"/>
    </row>
    <row r="50" spans="2:11" ht="10.25" customHeight="1" x14ac:dyDescent="0.15">
      <c r="B50" s="5"/>
      <c r="H50" s="67"/>
      <c r="I50" s="36"/>
      <c r="K50" s="6"/>
    </row>
    <row r="51" spans="2:11" ht="28.25" customHeight="1" x14ac:dyDescent="0.15">
      <c r="B51" s="5"/>
      <c r="D51" s="201" t="b">
        <v>0</v>
      </c>
      <c r="E51" s="66" t="s">
        <v>282</v>
      </c>
      <c r="F51" s="2"/>
      <c r="G51" s="2"/>
      <c r="H51" s="202">
        <v>1</v>
      </c>
      <c r="I51" s="8" t="s">
        <v>34</v>
      </c>
      <c r="J51" s="68">
        <f>IF(D51=FALSE,0,IF(H51=1,1,2))</f>
        <v>0</v>
      </c>
      <c r="K51" s="6"/>
    </row>
    <row r="52" spans="2:11" ht="10.25" customHeight="1" x14ac:dyDescent="0.15">
      <c r="B52" s="5"/>
      <c r="K52" s="6"/>
    </row>
    <row r="53" spans="2:11" ht="30" customHeight="1" x14ac:dyDescent="0.2">
      <c r="B53" s="5"/>
      <c r="C53" s="13">
        <v>5</v>
      </c>
      <c r="D53" s="46" t="s">
        <v>22</v>
      </c>
      <c r="E53" s="14"/>
      <c r="F53" s="14"/>
      <c r="G53" s="14"/>
      <c r="H53" s="14"/>
      <c r="I53" s="14"/>
      <c r="J53" s="15"/>
      <c r="K53" s="6"/>
    </row>
    <row r="54" spans="2:11" ht="10.25" customHeight="1" x14ac:dyDescent="0.15">
      <c r="B54" s="5"/>
      <c r="K54" s="6"/>
    </row>
    <row r="55" spans="2:11" ht="28.25" customHeight="1" x14ac:dyDescent="0.15">
      <c r="B55" s="5"/>
      <c r="D55" s="7" t="s">
        <v>279</v>
      </c>
      <c r="E55" s="2"/>
      <c r="F55" s="2"/>
      <c r="G55" s="2"/>
      <c r="H55" s="2"/>
      <c r="I55" s="8" t="s">
        <v>24</v>
      </c>
      <c r="J55" s="199">
        <v>2000</v>
      </c>
      <c r="K55" s="6"/>
    </row>
    <row r="56" spans="2:11" ht="10.25" customHeight="1" x14ac:dyDescent="0.15">
      <c r="B56" s="5"/>
      <c r="D56" s="35"/>
      <c r="K56" s="6"/>
    </row>
    <row r="57" spans="2:11" ht="28.25" customHeight="1" x14ac:dyDescent="0.15">
      <c r="B57" s="5"/>
      <c r="D57" s="7" t="s">
        <v>81</v>
      </c>
      <c r="E57" s="2"/>
      <c r="F57" s="2"/>
      <c r="G57" s="2"/>
      <c r="H57" s="2"/>
      <c r="I57" s="8" t="s">
        <v>27</v>
      </c>
      <c r="J57" s="199">
        <v>1000</v>
      </c>
      <c r="K57" s="6"/>
    </row>
    <row r="58" spans="2:11" ht="10.25" customHeight="1" x14ac:dyDescent="0.15">
      <c r="B58" s="5"/>
      <c r="D58" s="35"/>
      <c r="K58" s="6"/>
    </row>
    <row r="59" spans="2:11" ht="28.25" customHeight="1" x14ac:dyDescent="0.15">
      <c r="B59" s="5"/>
      <c r="D59" s="7" t="s">
        <v>280</v>
      </c>
      <c r="E59" s="2"/>
      <c r="F59" s="2"/>
      <c r="G59" s="2"/>
      <c r="H59" s="2"/>
      <c r="I59" s="8" t="s">
        <v>23</v>
      </c>
      <c r="J59" s="199">
        <v>1200</v>
      </c>
      <c r="K59" s="6"/>
    </row>
    <row r="60" spans="2:11" ht="10.25" customHeight="1" x14ac:dyDescent="0.15">
      <c r="B60" s="5"/>
      <c r="D60" s="35"/>
      <c r="K60" s="6"/>
    </row>
    <row r="61" spans="2:11" ht="28.25" customHeight="1" x14ac:dyDescent="0.15">
      <c r="B61" s="5"/>
      <c r="D61" s="7" t="s">
        <v>208</v>
      </c>
      <c r="E61" s="2"/>
      <c r="F61" s="2"/>
      <c r="G61" s="2"/>
      <c r="H61" s="2"/>
      <c r="I61" s="8" t="s">
        <v>23</v>
      </c>
      <c r="J61" s="49">
        <f>J55*J4+J57*J6+J59</f>
        <v>15960</v>
      </c>
      <c r="K61" s="6"/>
    </row>
    <row r="62" spans="2:11" ht="10.25" customHeight="1" x14ac:dyDescent="0.15">
      <c r="B62" s="5"/>
      <c r="K62" s="6"/>
    </row>
    <row r="63" spans="2:11" ht="30" customHeight="1" x14ac:dyDescent="0.2">
      <c r="B63" s="5"/>
      <c r="C63" s="13">
        <v>6</v>
      </c>
      <c r="D63" s="46" t="s">
        <v>25</v>
      </c>
      <c r="E63" s="14"/>
      <c r="F63" s="14"/>
      <c r="G63" s="14"/>
      <c r="H63" s="14"/>
      <c r="I63" s="14"/>
      <c r="J63" s="15"/>
      <c r="K63" s="6"/>
    </row>
    <row r="64" spans="2:11" ht="10.25" customHeight="1" x14ac:dyDescent="0.15">
      <c r="B64" s="5"/>
      <c r="K64" s="6"/>
    </row>
    <row r="65" spans="2:11" ht="28.25" customHeight="1" x14ac:dyDescent="0.15">
      <c r="B65" s="5"/>
      <c r="D65" s="7" t="str">
        <f>IF(Steuermodell=3,"","Regelbesteuerung")</f>
        <v/>
      </c>
      <c r="E65" s="373" t="s">
        <v>11</v>
      </c>
      <c r="F65" s="373">
        <f>IF(PV_Leistung&lt;30,3,1)</f>
        <v>3</v>
      </c>
      <c r="G65" s="2"/>
      <c r="H65" s="2"/>
      <c r="I65" s="8"/>
      <c r="J65" s="374"/>
      <c r="K65" s="6"/>
    </row>
    <row r="66" spans="2:11" ht="10.25" customHeight="1" x14ac:dyDescent="0.15">
      <c r="B66" s="5"/>
      <c r="K66" s="6"/>
    </row>
    <row r="67" spans="2:11" ht="28.25" customHeight="1" x14ac:dyDescent="0.15">
      <c r="B67" s="5"/>
      <c r="D67" s="7" t="s">
        <v>281</v>
      </c>
      <c r="E67" s="2"/>
      <c r="F67" s="2"/>
      <c r="G67" s="2"/>
      <c r="H67" s="2"/>
      <c r="I67" s="8" t="s">
        <v>32</v>
      </c>
      <c r="J67" s="49">
        <f>(Invest_PV-Zusatzkosten)*0.015</f>
        <v>221.4</v>
      </c>
      <c r="K67" s="6"/>
    </row>
    <row r="68" spans="2:11" ht="10.25" customHeight="1" x14ac:dyDescent="0.15">
      <c r="B68" s="5"/>
      <c r="K68" s="6"/>
    </row>
    <row r="69" spans="2:11" ht="25.25" customHeight="1" x14ac:dyDescent="0.15">
      <c r="B69" s="5"/>
      <c r="K69" s="6"/>
    </row>
    <row r="70" spans="2:11" ht="25.25" customHeight="1" x14ac:dyDescent="0.2">
      <c r="B70" s="5"/>
      <c r="C70" s="13">
        <v>8</v>
      </c>
      <c r="D70" s="46" t="s">
        <v>84</v>
      </c>
      <c r="E70" s="14"/>
      <c r="F70" s="14"/>
      <c r="G70" s="14"/>
      <c r="H70" s="14"/>
      <c r="I70" s="14"/>
      <c r="J70" s="15"/>
      <c r="K70" s="6"/>
    </row>
    <row r="71" spans="2:11" ht="10.25" customHeight="1" x14ac:dyDescent="0.15">
      <c r="B71" s="5"/>
      <c r="K71" s="6"/>
    </row>
    <row r="72" spans="2:11" ht="28.25" customHeight="1" x14ac:dyDescent="0.15">
      <c r="B72" s="5"/>
      <c r="D72" s="7" t="s">
        <v>57</v>
      </c>
      <c r="E72" s="2"/>
      <c r="F72" s="2"/>
      <c r="G72" s="2"/>
      <c r="H72" s="2"/>
      <c r="I72" s="8" t="s">
        <v>58</v>
      </c>
      <c r="J72" s="131">
        <f>ZinsInvest</f>
        <v>0</v>
      </c>
      <c r="K72" s="6"/>
    </row>
    <row r="73" spans="2:11" ht="10.25" customHeight="1" x14ac:dyDescent="0.15">
      <c r="B73" s="5"/>
      <c r="K73" s="6"/>
    </row>
    <row r="74" spans="2:11" ht="28.25" customHeight="1" x14ac:dyDescent="0.15">
      <c r="B74" s="5"/>
      <c r="D74" s="7" t="s">
        <v>59</v>
      </c>
      <c r="E74" s="2"/>
      <c r="F74" s="2"/>
      <c r="G74" s="2"/>
      <c r="H74" s="2"/>
      <c r="I74" s="8" t="s">
        <v>58</v>
      </c>
      <c r="J74" s="131">
        <f>ZinsGewinn</f>
        <v>0</v>
      </c>
      <c r="K74" s="6"/>
    </row>
    <row r="75" spans="2:11" ht="25.25" customHeight="1" x14ac:dyDescent="0.15">
      <c r="B75" s="5"/>
      <c r="K75" s="6"/>
    </row>
    <row r="76" spans="2:11" ht="25.25" customHeight="1" thickBot="1" x14ac:dyDescent="0.2">
      <c r="B76" s="19"/>
      <c r="C76" s="20"/>
      <c r="D76" s="20"/>
      <c r="E76" s="20"/>
      <c r="F76" s="20"/>
      <c r="G76" s="20"/>
      <c r="H76" s="20"/>
      <c r="I76" s="20"/>
      <c r="J76" s="20"/>
      <c r="K76" s="42"/>
    </row>
  </sheetData>
  <sheetProtection algorithmName="SHA-512" hashValue="kTffRRUCErgDYlnWF/XvcRGpU2jnlUdK2vNt4sgqpJjflAbsPydqiqpPTUiteDv5rSdGEh3pCSw3ccpPdMEYXw==" saltValue="hNWbEYgyZe6IINZGYm5t8Q==" spinCount="100000" sheet="1" objects="1" scenarios="1"/>
  <dataValidations disablePrompts="1" count="1">
    <dataValidation type="list" allowBlank="1" showInputMessage="1" showErrorMessage="1" sqref="J65" xr:uid="{00000000-0002-0000-0100-000000000000}">
      <formula1>SteuerM</formula1>
    </dataValidation>
  </dataValidations>
  <pageMargins left="0.70866141732283505" right="0.70866141732283505" top="0.78740157480314998" bottom="0.78740157480314998" header="0.31496062992126" footer="0.31496062992126"/>
  <pageSetup paperSize="9" scale="76" fitToHeight="0" orientation="portrait" r:id="rId1"/>
  <headerFooter>
    <oddHeader>&amp;L&amp;"Calibri,Standard"&amp;K000000BürgerSolarBeratung&amp;R&amp;"Calibri,Standard"&amp;K000000MetropolSolar</oddHeader>
    <oddFooter>&amp;CAlle Angaben, Berechnungen und Ergebnisse ohne Gewähr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Check Box 13">
              <controlPr locked="0" defaultSize="0" autoFill="0" autoLine="0" autoPict="0">
                <anchor moveWithCells="1">
                  <from>
                    <xdr:col>3</xdr:col>
                    <xdr:colOff>1625600</xdr:colOff>
                    <xdr:row>49</xdr:row>
                    <xdr:rowOff>114300</xdr:rowOff>
                  </from>
                  <to>
                    <xdr:col>3</xdr:col>
                    <xdr:colOff>2006600</xdr:colOff>
                    <xdr:row>51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Option Button 14">
              <controlPr locked="0" defaultSize="0" autoFill="0" autoLine="0" autoPict="0">
                <anchor moveWithCells="1">
                  <from>
                    <xdr:col>7</xdr:col>
                    <xdr:colOff>114300</xdr:colOff>
                    <xdr:row>49</xdr:row>
                    <xdr:rowOff>0</xdr:rowOff>
                  </from>
                  <to>
                    <xdr:col>7</xdr:col>
                    <xdr:colOff>482600</xdr:colOff>
                    <xdr:row>50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Option Button 16">
              <controlPr locked="0" defaultSize="0" autoFill="0" autoLine="0" autoPict="0" altText="Alle">
                <anchor moveWithCells="1">
                  <from>
                    <xdr:col>7</xdr:col>
                    <xdr:colOff>114300</xdr:colOff>
                    <xdr:row>50</xdr:row>
                    <xdr:rowOff>76200</xdr:rowOff>
                  </from>
                  <to>
                    <xdr:col>7</xdr:col>
                    <xdr:colOff>482600</xdr:colOff>
                    <xdr:row>51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Button 19">
              <controlPr defaultSize="0" print="0" autoFill="0" autoPict="0" macro="[0]!Ergebnisse">
                <anchor moveWithCells="1" sizeWithCells="1">
                  <from>
                    <xdr:col>13</xdr:col>
                    <xdr:colOff>190500</xdr:colOff>
                    <xdr:row>3</xdr:row>
                    <xdr:rowOff>228600</xdr:rowOff>
                  </from>
                  <to>
                    <xdr:col>15</xdr:col>
                    <xdr:colOff>558800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8" name="Button 20">
              <controlPr defaultSize="0" print="0" autoFill="0" autoPict="0" macro="[0]!E_Mob">
                <anchor moveWithCells="1" sizeWithCells="1">
                  <from>
                    <xdr:col>13</xdr:col>
                    <xdr:colOff>190500</xdr:colOff>
                    <xdr:row>5</xdr:row>
                    <xdr:rowOff>330200</xdr:rowOff>
                  </from>
                  <to>
                    <xdr:col>15</xdr:col>
                    <xdr:colOff>558800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9" name="Button 21">
              <controlPr defaultSize="0" print="0" autoFill="0" autoPict="0" macro="[0]!Menue">
                <anchor moveWithCells="1" sizeWithCells="1">
                  <from>
                    <xdr:col>13</xdr:col>
                    <xdr:colOff>177800</xdr:colOff>
                    <xdr:row>1</xdr:row>
                    <xdr:rowOff>152400</xdr:rowOff>
                  </from>
                  <to>
                    <xdr:col>15</xdr:col>
                    <xdr:colOff>558800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0" name="Button 43">
              <controlPr defaultSize="0" print="0" autoFill="0" autoPict="0" macro="[0]!ausgabe">
                <anchor moveWithCells="1" sizeWithCells="1">
                  <from>
                    <xdr:col>13</xdr:col>
                    <xdr:colOff>190500</xdr:colOff>
                    <xdr:row>8</xdr:row>
                    <xdr:rowOff>63500</xdr:rowOff>
                  </from>
                  <to>
                    <xdr:col>15</xdr:col>
                    <xdr:colOff>558800</xdr:colOff>
                    <xdr:row>10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B1:AH75"/>
  <sheetViews>
    <sheetView showGridLines="0" zoomScale="125" zoomScaleNormal="125" workbookViewId="0">
      <selection activeCell="O37" sqref="O37"/>
    </sheetView>
  </sheetViews>
  <sheetFormatPr baseColWidth="10" defaultColWidth="10.6640625" defaultRowHeight="25.25" customHeight="1" x14ac:dyDescent="0.15"/>
  <cols>
    <col min="1" max="2" width="1.6640625" style="1" customWidth="1"/>
    <col min="3" max="3" width="5.6640625" style="1" customWidth="1"/>
    <col min="4" max="4" width="30.6640625" style="1" customWidth="1"/>
    <col min="5" max="7" width="16.6640625" style="1" customWidth="1"/>
    <col min="8" max="10" width="15.6640625" style="1" customWidth="1"/>
    <col min="11" max="11" width="1.6640625" style="1" customWidth="1"/>
    <col min="12" max="12" width="10.6640625" style="36"/>
    <col min="13" max="15" width="15.6640625" style="1" customWidth="1"/>
    <col min="16" max="16384" width="10.6640625" style="1"/>
  </cols>
  <sheetData>
    <row r="1" spans="2:34" ht="35" customHeight="1" thickBot="1" x14ac:dyDescent="0.25">
      <c r="B1" s="132" t="s">
        <v>68</v>
      </c>
      <c r="J1" s="194" t="s">
        <v>91</v>
      </c>
    </row>
    <row r="2" spans="2:34" ht="30" customHeight="1" x14ac:dyDescent="0.2">
      <c r="B2" s="3"/>
      <c r="C2" s="73">
        <v>1</v>
      </c>
      <c r="D2" s="74" t="s">
        <v>35</v>
      </c>
      <c r="E2" s="75"/>
      <c r="F2" s="75"/>
      <c r="G2" s="75"/>
      <c r="H2" s="75"/>
      <c r="I2" s="75"/>
      <c r="J2" s="75"/>
      <c r="K2" s="4"/>
      <c r="M2" s="3"/>
      <c r="N2" s="4"/>
    </row>
    <row r="3" spans="2:34" ht="10.25" customHeight="1" x14ac:dyDescent="0.15">
      <c r="B3" s="5"/>
      <c r="K3" s="6"/>
      <c r="M3" s="5"/>
      <c r="N3" s="6"/>
    </row>
    <row r="4" spans="2:34" ht="28.25" customHeight="1" x14ac:dyDescent="0.2">
      <c r="B4" s="5"/>
      <c r="D4" s="65" t="s">
        <v>273</v>
      </c>
      <c r="E4" s="162" t="str">
        <f>IF(Eingaben!J6&gt;0,"-"&amp;" "&amp;"mit Speichersystem","-"&amp;" "&amp;"ohne Speichersystem")</f>
        <v>- ohne Speichersystem</v>
      </c>
      <c r="F4" s="2"/>
      <c r="G4" s="2"/>
      <c r="H4" s="177" t="s">
        <v>89</v>
      </c>
      <c r="I4" s="2"/>
      <c r="J4" s="177" t="s">
        <v>88</v>
      </c>
      <c r="K4" s="6"/>
      <c r="M4" s="5"/>
      <c r="N4" s="6"/>
      <c r="Q4"/>
    </row>
    <row r="5" spans="2:34" ht="28.25" customHeight="1" x14ac:dyDescent="0.2">
      <c r="B5" s="5"/>
      <c r="E5" s="119" t="str">
        <f>IF(Strom_WP&gt;0,"-"&amp;" "&amp;"mit Wärmepumpe","-"&amp;" "&amp;"ohne Wärmepumpe")</f>
        <v>- ohne Wärmepumpe</v>
      </c>
      <c r="F5" s="21"/>
      <c r="G5" s="21"/>
      <c r="H5" s="189">
        <f>Quote_Eigenverbrauch</f>
        <v>0.26100000000000001</v>
      </c>
      <c r="I5" s="38" t="s">
        <v>32</v>
      </c>
      <c r="J5" s="176">
        <f>IF(Strom_WP=0,0,Strom_WP*SolDeck*Strompreis_WP/100-Grundgebühr_WP*IF(Zählermodell="Kaskade",1,0))</f>
        <v>0</v>
      </c>
      <c r="K5" s="6"/>
      <c r="M5" s="5"/>
      <c r="N5" s="6"/>
    </row>
    <row r="6" spans="2:34" ht="28.25" customHeight="1" x14ac:dyDescent="0.2">
      <c r="B6" s="5"/>
      <c r="E6" s="119" t="str">
        <f>IF(Status_EA=1,"-"&amp;" "&amp;"mit Laden eines E-Autos zuhause",IF(Status_EA=2,"-"&amp;" "&amp;"mit Vor- u. Nachteilen eines neuen E-Autos","-"&amp;" "&amp;"ohne E-Mobilität"))</f>
        <v>- ohne E-Mobilität</v>
      </c>
      <c r="F6" s="21"/>
      <c r="G6" s="21"/>
      <c r="H6" s="189" t="str">
        <f>IF(Status_EA&gt;0,Eigenverbrauch/Ertrag_Jahr01,"---")</f>
        <v>---</v>
      </c>
      <c r="I6" s="38" t="s">
        <v>32</v>
      </c>
      <c r="J6" s="176">
        <f>IF(Status_EA&gt;0,'E-Mobilitaet'!D16,0)</f>
        <v>0</v>
      </c>
      <c r="K6" s="6"/>
      <c r="M6" s="5"/>
      <c r="N6" s="6"/>
    </row>
    <row r="7" spans="2:34" ht="10.25" customHeight="1" x14ac:dyDescent="0.15">
      <c r="B7" s="5"/>
      <c r="K7" s="6"/>
      <c r="M7" s="5"/>
      <c r="N7" s="6"/>
    </row>
    <row r="8" spans="2:34" ht="30" customHeight="1" x14ac:dyDescent="0.2">
      <c r="B8" s="5"/>
      <c r="C8" s="77">
        <v>2</v>
      </c>
      <c r="D8" s="78" t="s">
        <v>61</v>
      </c>
      <c r="E8" s="76"/>
      <c r="F8" s="76"/>
      <c r="G8" s="76"/>
      <c r="H8" s="76"/>
      <c r="I8" s="76"/>
      <c r="J8" s="76"/>
      <c r="K8" s="6"/>
      <c r="M8" s="5"/>
      <c r="N8" s="6"/>
    </row>
    <row r="9" spans="2:34" ht="10.25" customHeight="1" x14ac:dyDescent="0.15">
      <c r="B9" s="5"/>
      <c r="K9" s="6"/>
      <c r="M9" s="5"/>
      <c r="N9" s="6"/>
    </row>
    <row r="10" spans="2:34" ht="28.25" customHeight="1" thickBot="1" x14ac:dyDescent="0.2">
      <c r="B10" s="5"/>
      <c r="D10" s="2" t="s">
        <v>283</v>
      </c>
      <c r="E10" s="2"/>
      <c r="F10" s="2"/>
      <c r="G10" s="2"/>
      <c r="H10" s="2"/>
      <c r="I10" s="8" t="s">
        <v>7</v>
      </c>
      <c r="J10" s="49">
        <f>PV_Leistung*Spez.Energie_Ertrag</f>
        <v>5535</v>
      </c>
      <c r="K10" s="6"/>
      <c r="M10" s="19"/>
      <c r="N10" s="42"/>
    </row>
    <row r="11" spans="2:34" ht="10.25" customHeight="1" x14ac:dyDescent="0.15">
      <c r="B11" s="5"/>
      <c r="K11" s="6"/>
    </row>
    <row r="12" spans="2:34" ht="28.25" customHeight="1" x14ac:dyDescent="0.15">
      <c r="B12" s="5"/>
      <c r="D12" s="2" t="str">
        <f>IF(Speicherverl=0,"Jährlicher Stromverbrauch","Jährlicher Stromverbrauch incl. Speicherverlust")</f>
        <v>Jährlicher Stromverbrauch</v>
      </c>
      <c r="E12" s="2"/>
      <c r="F12" s="2"/>
      <c r="G12" s="2"/>
      <c r="H12" s="2"/>
      <c r="I12" s="8" t="s">
        <v>7</v>
      </c>
      <c r="J12" s="49">
        <f>Strom_HH+Strom_WP+Strom_EMOB+Speicherverl</f>
        <v>3800</v>
      </c>
      <c r="K12" s="6"/>
    </row>
    <row r="13" spans="2:34" ht="10.25" customHeight="1" x14ac:dyDescent="0.15">
      <c r="B13" s="5"/>
      <c r="K13" s="6"/>
      <c r="AH13" s="1" t="s">
        <v>37</v>
      </c>
    </row>
    <row r="14" spans="2:34" ht="28.25" customHeight="1" x14ac:dyDescent="0.15">
      <c r="B14" s="5"/>
      <c r="D14" s="2" t="s">
        <v>82</v>
      </c>
      <c r="E14" s="2"/>
      <c r="F14" s="2"/>
      <c r="G14" s="2"/>
      <c r="H14" s="2"/>
      <c r="I14" s="8" t="s">
        <v>7</v>
      </c>
      <c r="J14" s="49">
        <f>Ertrag_Jahr01-J16</f>
        <v>4090.3649999999998</v>
      </c>
      <c r="K14" s="6"/>
      <c r="L14" s="383"/>
    </row>
    <row r="15" spans="2:34" ht="10.25" customHeight="1" x14ac:dyDescent="0.15">
      <c r="B15" s="5"/>
      <c r="K15" s="6"/>
    </row>
    <row r="16" spans="2:34" ht="28.25" customHeight="1" x14ac:dyDescent="0.15">
      <c r="B16" s="5"/>
      <c r="D16" s="2" t="s">
        <v>36</v>
      </c>
      <c r="E16" s="2"/>
      <c r="F16" s="2"/>
      <c r="G16" s="2"/>
      <c r="H16" s="2"/>
      <c r="I16" s="8" t="s">
        <v>7</v>
      </c>
      <c r="J16" s="49">
        <f>Ertrag_Jahr01*Quote_Eigenverbrauch+IF(Status_EA&gt;0,PV_laden_EA,0)</f>
        <v>1444.635</v>
      </c>
      <c r="K16" s="6"/>
    </row>
    <row r="17" spans="2:17" ht="10.25" customHeight="1" x14ac:dyDescent="0.15">
      <c r="B17" s="5"/>
      <c r="K17" s="6"/>
    </row>
    <row r="18" spans="2:17" ht="28.25" customHeight="1" x14ac:dyDescent="0.15">
      <c r="B18" s="5"/>
      <c r="D18" s="2" t="s">
        <v>83</v>
      </c>
      <c r="E18" s="2"/>
      <c r="F18" s="2"/>
      <c r="G18" s="2"/>
      <c r="H18" s="2"/>
      <c r="I18" s="8" t="s">
        <v>7</v>
      </c>
      <c r="J18" s="49" cm="1">
        <f t="array" ref="J18">Bezug+IF(Status_EA&gt;0,Bezug_zuhause_N+Bezug_zuhause_T,0)</f>
        <v>2505</v>
      </c>
      <c r="K18" s="6"/>
      <c r="L18" s="386"/>
      <c r="M18" s="387" t="str">
        <f>IF(Speicher_Akku=0,"",IF(Bezug-(Strom_HH+Strom_WP-Quote_Eigenverbrauch*Ertrag_Jahr01)&lt;Ertrag_Jahr01*0.1%,"Bei einem Hybrid-WR fallen die Speicherverluste  auf der Gleichstromseite an.",""))</f>
        <v/>
      </c>
    </row>
    <row r="19" spans="2:17" ht="10.25" customHeight="1" x14ac:dyDescent="0.15">
      <c r="B19" s="5"/>
      <c r="K19" s="6"/>
      <c r="L19" s="1"/>
    </row>
    <row r="20" spans="2:17" ht="28.25" customHeight="1" x14ac:dyDescent="0.15">
      <c r="B20" s="5"/>
      <c r="D20" s="2" t="str">
        <f>IF(Speicher_Akku=0,"Speicherverluste",IF(Bezug-(Strom_HH+Strom_WP-Quote_Eigenverbrauch*Ertrag_Jahr01)&lt;Ertrag_Jahr01*0.1%,"Sie verwenden einen Hybrid-WR!","Speicherverluste"))</f>
        <v>Speicherverluste</v>
      </c>
      <c r="E20" s="2"/>
      <c r="F20" s="2"/>
      <c r="G20" s="2"/>
      <c r="H20" s="2"/>
      <c r="I20" s="8" t="s">
        <v>7</v>
      </c>
      <c r="J20" s="49">
        <f>IF(Speicher_Akku=0,0,IF(Bezug-(Strom_HH+Strom_WP-Quote_Eigenverbrauch*Ertrag_Jahr01)&lt;Ertrag_Jahr01*0.1%,0,Bezug-(Strom_HH+Strom_WP-Quote_Eigenverbrauch*Ertrag_Jahr01)))</f>
        <v>0</v>
      </c>
      <c r="K20" s="6"/>
      <c r="L20" s="386"/>
      <c r="M20" s="387" t="str">
        <f>IF(Speicher_Akku=0,"",IF(Bezug-(Strom_HH+Strom_WP-Quote_Eigenverbrauch*Ertrag_Jahr01)&lt;Ertrag_Jahr01*0.1%,"Die Ergebnisse sind mit denen eines String-WR nicht vergleichbar.",""))</f>
        <v/>
      </c>
    </row>
    <row r="21" spans="2:17" ht="10.25" customHeight="1" x14ac:dyDescent="0.15">
      <c r="B21" s="5"/>
      <c r="K21" s="6"/>
      <c r="L21" s="386"/>
    </row>
    <row r="22" spans="2:17" ht="25.25" customHeight="1" x14ac:dyDescent="0.2">
      <c r="B22" s="5"/>
      <c r="C22" s="77">
        <v>3</v>
      </c>
      <c r="D22" s="78" t="s">
        <v>54</v>
      </c>
      <c r="E22" s="76"/>
      <c r="F22" s="76"/>
      <c r="G22" s="76"/>
      <c r="H22" s="76"/>
      <c r="I22" s="76"/>
      <c r="J22" s="76"/>
      <c r="K22" s="6"/>
      <c r="L22" s="264"/>
    </row>
    <row r="23" spans="2:17" ht="10.25" customHeight="1" thickBot="1" x14ac:dyDescent="0.2">
      <c r="B23" s="5"/>
      <c r="K23" s="6"/>
    </row>
    <row r="24" spans="2:17" ht="25.25" customHeight="1" x14ac:dyDescent="0.2">
      <c r="B24" s="5"/>
      <c r="C24" s="3"/>
      <c r="D24" s="64"/>
      <c r="E24" s="64"/>
      <c r="F24" s="339"/>
      <c r="G24" s="340" t="s">
        <v>208</v>
      </c>
      <c r="H24" s="64"/>
      <c r="I24" s="226">
        <f>Invest_PV</f>
        <v>15960</v>
      </c>
      <c r="J24" s="4"/>
      <c r="K24" s="6"/>
      <c r="M24" s="182" t="s">
        <v>12</v>
      </c>
      <c r="N24" s="182" t="s">
        <v>55</v>
      </c>
      <c r="O24" s="182" t="s">
        <v>56</v>
      </c>
    </row>
    <row r="25" spans="2:17" ht="25.25" customHeight="1" thickBot="1" x14ac:dyDescent="0.25">
      <c r="B25" s="5"/>
      <c r="C25" s="5"/>
      <c r="D25" s="228" t="s">
        <v>94</v>
      </c>
      <c r="E25" s="190">
        <f>IF(KtoStand_Ende&lt;0,"&gt; 20",SUM(L26:L46))</f>
        <v>16.581354168853391</v>
      </c>
      <c r="F25" s="65" t="s">
        <v>60</v>
      </c>
      <c r="G25" s="65" t="str">
        <f>IF(I25&gt;0,"Gewinn nach 20,x Jahren","Verlust nach 20 Jahren")</f>
        <v>Gewinn nach 20,x Jahren</v>
      </c>
      <c r="H25" s="2"/>
      <c r="I25" s="164">
        <f>KtoStand_Ende</f>
        <v>3927.0518454569765</v>
      </c>
      <c r="J25" s="123"/>
      <c r="K25" s="6"/>
      <c r="L25" s="96"/>
      <c r="M25" s="92"/>
      <c r="N25" s="80" t="s">
        <v>7</v>
      </c>
      <c r="O25" s="80" t="s">
        <v>23</v>
      </c>
    </row>
    <row r="26" spans="2:17" ht="25.25" customHeight="1" x14ac:dyDescent="0.15">
      <c r="B26" s="5"/>
      <c r="C26" s="5"/>
      <c r="J26" s="6"/>
      <c r="K26" s="6"/>
      <c r="L26" s="122" t="str">
        <f t="shared" ref="L26:L38" si="0">IF(O26*O27&lt;0,M27+O27/(O26-O27),"")</f>
        <v/>
      </c>
      <c r="M26" s="116">
        <v>0</v>
      </c>
      <c r="N26" s="120"/>
      <c r="O26" s="375">
        <f>-Invest_PV</f>
        <v>-15960</v>
      </c>
    </row>
    <row r="27" spans="2:17" ht="25.25" customHeight="1" x14ac:dyDescent="0.2">
      <c r="B27" s="5"/>
      <c r="C27" s="5"/>
      <c r="E27" s="72"/>
      <c r="F27" s="65" t="s">
        <v>196</v>
      </c>
      <c r="G27" s="118"/>
      <c r="H27" s="2"/>
      <c r="I27" s="203">
        <v>4.6040733343638687E-2</v>
      </c>
      <c r="J27" s="178"/>
      <c r="K27" s="6"/>
      <c r="L27" s="122" t="str">
        <f>IF(O27*O28&lt;0,M28+O28/(O27-O28),"")</f>
        <v/>
      </c>
      <c r="M27" s="117">
        <f>M26+1</f>
        <v>1</v>
      </c>
      <c r="N27" s="100">
        <f>Ertrag_Jahr01</f>
        <v>5535</v>
      </c>
      <c r="O27" s="100">
        <f t="shared" ref="O27:O36" si="1">O26*(1+IF(O26&lt;0,ZinsInvest,ZinsGewinn))+N27*(1-Quote_Eigenverbrauch)*Einspeis_Verg/100+IF(Zählermodell="Kaskade",(N27*Quote_Eigenverbrauch-Strom_WP*SolDeck)*Strompreis_HH/100+Strom_WP*SolDeck*Strompreis_WP/100-Grundgebühr_WP,N27*Quote_Eigenverbrauch*Strompreis_HH/100)*(1+Preissteigerung)^M26*IF(Steuermodell=3,(1+MwSt),1)-Betriebskosten*(1+Preissteigerung)^M26+Jähr.Einsp_EA-Speicherverl*Strompreis_HH/100*(1+Preissteigerung)^M26*(1+MwSt)</f>
        <v>-15072.388027499999</v>
      </c>
      <c r="P27" s="146"/>
      <c r="Q27" s="341"/>
    </row>
    <row r="28" spans="2:17" ht="25.25" customHeight="1" x14ac:dyDescent="0.2">
      <c r="B28" s="5"/>
      <c r="C28" s="5"/>
      <c r="G28" s="1" t="s">
        <v>67</v>
      </c>
      <c r="I28" s="227">
        <v>0</v>
      </c>
      <c r="J28" s="6"/>
      <c r="K28" s="6"/>
      <c r="L28" s="122" t="str">
        <f t="shared" si="0"/>
        <v/>
      </c>
      <c r="M28" s="117">
        <f t="shared" ref="M28:M40" si="2">M27+1</f>
        <v>2</v>
      </c>
      <c r="N28" s="100">
        <f t="shared" ref="N28:N46" si="3">Ertrag_Jahr01*(1-M27*Degradation)</f>
        <v>5523.93</v>
      </c>
      <c r="O28" s="100">
        <f t="shared" si="1"/>
        <v>-14175.980982176698</v>
      </c>
      <c r="Q28" s="341"/>
    </row>
    <row r="29" spans="2:17" ht="25.25" customHeight="1" x14ac:dyDescent="0.2">
      <c r="B29" s="5"/>
      <c r="C29" s="5"/>
      <c r="E29" s="36"/>
      <c r="G29" s="1" t="s">
        <v>85</v>
      </c>
      <c r="I29" s="227">
        <v>0</v>
      </c>
      <c r="J29" s="163"/>
      <c r="K29" s="6"/>
      <c r="L29" s="122" t="str">
        <f t="shared" si="0"/>
        <v/>
      </c>
      <c r="M29" s="117">
        <f t="shared" si="2"/>
        <v>3</v>
      </c>
      <c r="N29" s="100">
        <f t="shared" si="3"/>
        <v>5512.86</v>
      </c>
      <c r="O29" s="100">
        <f t="shared" si="1"/>
        <v>-13270.621109139765</v>
      </c>
      <c r="Q29" s="341"/>
    </row>
    <row r="30" spans="2:17" ht="25.25" customHeight="1" x14ac:dyDescent="0.2">
      <c r="B30" s="5"/>
      <c r="C30" s="5"/>
      <c r="J30" s="6"/>
      <c r="K30" s="6"/>
      <c r="L30" s="122" t="str">
        <f t="shared" si="0"/>
        <v/>
      </c>
      <c r="M30" s="117">
        <f t="shared" si="2"/>
        <v>4</v>
      </c>
      <c r="N30" s="100">
        <f t="shared" si="3"/>
        <v>5501.79</v>
      </c>
      <c r="O30" s="100">
        <f t="shared" si="1"/>
        <v>-12356.148129660331</v>
      </c>
      <c r="Q30" s="341"/>
    </row>
    <row r="31" spans="2:17" ht="25.25" customHeight="1" x14ac:dyDescent="0.2">
      <c r="B31" s="5"/>
      <c r="C31" s="5"/>
      <c r="F31" s="65" t="s">
        <v>62</v>
      </c>
      <c r="G31" s="2"/>
      <c r="H31" s="2"/>
      <c r="I31" s="372">
        <f>(-O26+Betriebskosten*(1+Preissteigerung)^10*20)/N47*100</f>
        <v>19.429327143424732</v>
      </c>
      <c r="J31" s="178" t="s">
        <v>9</v>
      </c>
      <c r="K31" s="6"/>
      <c r="L31" s="122" t="str">
        <f t="shared" si="0"/>
        <v/>
      </c>
      <c r="M31" s="117">
        <f t="shared" si="2"/>
        <v>5</v>
      </c>
      <c r="N31" s="100">
        <f t="shared" si="3"/>
        <v>5490.72</v>
      </c>
      <c r="O31" s="100">
        <f t="shared" si="1"/>
        <v>-11432.399203319394</v>
      </c>
      <c r="Q31" s="341"/>
    </row>
    <row r="32" spans="2:17" ht="25.25" customHeight="1" thickBot="1" x14ac:dyDescent="0.25">
      <c r="B32" s="5"/>
      <c r="C32" s="19"/>
      <c r="D32" s="20"/>
      <c r="E32" s="20"/>
      <c r="F32" s="20"/>
      <c r="G32" s="20"/>
      <c r="H32" s="20"/>
      <c r="I32" s="20"/>
      <c r="J32" s="42"/>
      <c r="K32" s="6"/>
      <c r="L32" s="122" t="str">
        <f t="shared" si="0"/>
        <v/>
      </c>
      <c r="M32" s="117">
        <f t="shared" si="2"/>
        <v>6</v>
      </c>
      <c r="N32" s="100">
        <f t="shared" si="3"/>
        <v>5479.65</v>
      </c>
      <c r="O32" s="100">
        <f t="shared" si="1"/>
        <v>-10499.20888965172</v>
      </c>
      <c r="Q32" s="341"/>
    </row>
    <row r="33" spans="2:17" ht="25.25" customHeight="1" x14ac:dyDescent="0.2">
      <c r="B33" s="5"/>
      <c r="K33" s="6"/>
      <c r="L33" s="122" t="str">
        <f t="shared" si="0"/>
        <v/>
      </c>
      <c r="M33" s="117">
        <f t="shared" si="2"/>
        <v>7</v>
      </c>
      <c r="N33" s="100">
        <f t="shared" si="3"/>
        <v>5468.58</v>
      </c>
      <c r="O33" s="100">
        <f t="shared" si="1"/>
        <v>-9556.40910928015</v>
      </c>
      <c r="Q33" s="341"/>
    </row>
    <row r="34" spans="2:17" ht="25.25" customHeight="1" x14ac:dyDescent="0.2">
      <c r="B34" s="5"/>
      <c r="K34" s="6"/>
      <c r="L34" s="122" t="str">
        <f t="shared" si="0"/>
        <v/>
      </c>
      <c r="M34" s="117">
        <f t="shared" si="2"/>
        <v>8</v>
      </c>
      <c r="N34" s="100">
        <f t="shared" si="3"/>
        <v>5457.51</v>
      </c>
      <c r="O34" s="100">
        <f t="shared" si="1"/>
        <v>-8603.829104535318</v>
      </c>
      <c r="Q34" s="341"/>
    </row>
    <row r="35" spans="2:17" ht="25.25" customHeight="1" x14ac:dyDescent="0.2">
      <c r="B35" s="5"/>
      <c r="K35" s="6"/>
      <c r="L35" s="122" t="str">
        <f t="shared" si="0"/>
        <v/>
      </c>
      <c r="M35" s="117">
        <f>M34+1</f>
        <v>9</v>
      </c>
      <c r="N35" s="100">
        <f t="shared" si="3"/>
        <v>5446.44</v>
      </c>
      <c r="O35" s="100">
        <f t="shared" si="1"/>
        <v>-7641.2953995557036</v>
      </c>
      <c r="Q35" s="341"/>
    </row>
    <row r="36" spans="2:17" ht="25.25" customHeight="1" x14ac:dyDescent="0.2">
      <c r="B36" s="5"/>
      <c r="K36" s="6"/>
      <c r="L36" s="122" t="str">
        <f t="shared" si="0"/>
        <v/>
      </c>
      <c r="M36" s="117">
        <f t="shared" si="2"/>
        <v>10</v>
      </c>
      <c r="N36" s="100">
        <f t="shared" si="3"/>
        <v>5435.37</v>
      </c>
      <c r="O36" s="100">
        <f t="shared" si="1"/>
        <v>-6668.6317598630212</v>
      </c>
      <c r="Q36" s="341"/>
    </row>
    <row r="37" spans="2:17" ht="25.25" customHeight="1" x14ac:dyDescent="0.2">
      <c r="B37" s="5"/>
      <c r="K37" s="6"/>
      <c r="L37" s="122" t="str">
        <f t="shared" si="0"/>
        <v/>
      </c>
      <c r="M37" s="117">
        <f t="shared" si="2"/>
        <v>11</v>
      </c>
      <c r="N37" s="100">
        <f t="shared" si="3"/>
        <v>5424.3</v>
      </c>
      <c r="O37" s="100">
        <f t="shared" ref="O37:O46" si="4">O36*(1+IF(O36&lt;0,ZinsInvest,ZinsGewinn))+N37*(1-Quote_Eigenverbrauch)*Einspeis_Verg/100+IF(Zählermodell="Kaskade",(N37*Quote_Eigenverbrauch-Strom_WP*SolDeck)*Strompreis_HH/100+Strom_WP*SolDeck*Strompreis_WP/100-Grundgebühr_WP,N37*Quote_Eigenverbrauch*Strompreis_HH/100)*(1+Preissteigerung)^M36*IF(Steuermodell=1,1,(1+MwSt))-Betriebskosten*(1+Preissteigerung)^M36+Jähr.Einsp_EA_Dek2-Speicherverl*Strompreis_HH/100*(1+Preissteigerung)^M36*(1+MwSt)</f>
        <v>-5685.6591514078937</v>
      </c>
      <c r="Q37" s="341"/>
    </row>
    <row r="38" spans="2:17" ht="25.25" customHeight="1" x14ac:dyDescent="0.2">
      <c r="B38" s="5"/>
      <c r="K38" s="6"/>
      <c r="L38" s="122" t="str">
        <f t="shared" si="0"/>
        <v/>
      </c>
      <c r="M38" s="117">
        <f t="shared" si="2"/>
        <v>12</v>
      </c>
      <c r="N38" s="100">
        <f t="shared" si="3"/>
        <v>5413.23</v>
      </c>
      <c r="O38" s="100">
        <f t="shared" si="4"/>
        <v>-4692.1956990807976</v>
      </c>
      <c r="Q38" s="341"/>
    </row>
    <row r="39" spans="2:17" ht="25.25" customHeight="1" x14ac:dyDescent="0.15">
      <c r="B39" s="5"/>
      <c r="K39" s="6"/>
      <c r="L39" s="122" t="str">
        <f t="shared" ref="L39:L44" si="5">IF(O39*O40&lt;0,M40+O40/(O39-O40),"")</f>
        <v/>
      </c>
      <c r="M39" s="117">
        <f t="shared" si="2"/>
        <v>13</v>
      </c>
      <c r="N39" s="100">
        <f t="shared" si="3"/>
        <v>5402.16</v>
      </c>
      <c r="O39" s="100">
        <f t="shared" si="4"/>
        <v>-3688.056644683274</v>
      </c>
    </row>
    <row r="40" spans="2:17" ht="25.25" customHeight="1" x14ac:dyDescent="0.15">
      <c r="B40" s="5"/>
      <c r="K40" s="6"/>
      <c r="L40" s="191" t="str">
        <f t="shared" si="5"/>
        <v/>
      </c>
      <c r="M40" s="117">
        <f t="shared" si="2"/>
        <v>14</v>
      </c>
      <c r="N40" s="100">
        <f t="shared" si="3"/>
        <v>5391.09</v>
      </c>
      <c r="O40" s="100">
        <f t="shared" si="4"/>
        <v>-2673.0543043544208</v>
      </c>
    </row>
    <row r="41" spans="2:17" ht="25.25" customHeight="1" x14ac:dyDescent="0.15">
      <c r="B41" s="5"/>
      <c r="K41" s="6"/>
      <c r="L41" s="122" t="str">
        <f t="shared" si="5"/>
        <v/>
      </c>
      <c r="M41" s="117">
        <f t="shared" ref="M41:M46" si="6">M40+1</f>
        <v>15</v>
      </c>
      <c r="N41" s="100">
        <f t="shared" si="3"/>
        <v>5380.0199999999995</v>
      </c>
      <c r="O41" s="100">
        <f t="shared" si="4"/>
        <v>-1646.9980254476723</v>
      </c>
    </row>
    <row r="42" spans="2:17" ht="25.25" customHeight="1" x14ac:dyDescent="0.15">
      <c r="B42" s="5"/>
      <c r="K42" s="6"/>
      <c r="L42" s="122">
        <f t="shared" si="5"/>
        <v>16.581354168853391</v>
      </c>
      <c r="M42" s="117">
        <f t="shared" si="6"/>
        <v>16</v>
      </c>
      <c r="N42" s="100">
        <f t="shared" si="3"/>
        <v>5368.95</v>
      </c>
      <c r="O42" s="100">
        <f t="shared" si="4"/>
        <v>-609.69414285291623</v>
      </c>
    </row>
    <row r="43" spans="2:17" ht="25.25" customHeight="1" x14ac:dyDescent="0.15">
      <c r="B43" s="5"/>
      <c r="K43" s="6"/>
      <c r="L43" s="122" t="str">
        <f t="shared" si="5"/>
        <v/>
      </c>
      <c r="M43" s="117">
        <f t="shared" si="6"/>
        <v>17</v>
      </c>
      <c r="N43" s="100">
        <f t="shared" si="3"/>
        <v>5357.88</v>
      </c>
      <c r="O43" s="100">
        <f t="shared" si="4"/>
        <v>439.05406524098942</v>
      </c>
    </row>
    <row r="44" spans="2:17" ht="25.25" customHeight="1" x14ac:dyDescent="0.15">
      <c r="B44" s="5"/>
      <c r="K44" s="6"/>
      <c r="L44" s="122" t="str">
        <f t="shared" si="5"/>
        <v/>
      </c>
      <c r="M44" s="117">
        <f t="shared" si="6"/>
        <v>18</v>
      </c>
      <c r="N44" s="100">
        <f t="shared" si="3"/>
        <v>5346.8099999999995</v>
      </c>
      <c r="O44" s="100">
        <f t="shared" si="4"/>
        <v>1499.4464221482126</v>
      </c>
    </row>
    <row r="45" spans="2:17" ht="25.25" customHeight="1" x14ac:dyDescent="0.15">
      <c r="B45" s="5"/>
      <c r="K45" s="6"/>
      <c r="L45" s="122" t="str">
        <f>IF(O45*O46&lt;0,M46+O46/(O45-O46),"")</f>
        <v/>
      </c>
      <c r="M45" s="117">
        <f t="shared" si="6"/>
        <v>19</v>
      </c>
      <c r="N45" s="100">
        <f t="shared" si="3"/>
        <v>5335.74</v>
      </c>
      <c r="O45" s="100">
        <f t="shared" si="4"/>
        <v>2571.6858980573443</v>
      </c>
    </row>
    <row r="46" spans="2:17" ht="25.25" customHeight="1" thickBot="1" x14ac:dyDescent="0.2">
      <c r="B46" s="5"/>
      <c r="K46" s="6"/>
      <c r="L46" s="122" t="str">
        <f>IF(O46*O47&lt;0,M47+O47/(O46-O47),"")</f>
        <v/>
      </c>
      <c r="M46" s="115">
        <f t="shared" si="6"/>
        <v>20</v>
      </c>
      <c r="N46" s="121">
        <f t="shared" si="3"/>
        <v>5324.67</v>
      </c>
      <c r="O46" s="100">
        <f t="shared" si="4"/>
        <v>3655.97865597705</v>
      </c>
    </row>
    <row r="47" spans="2:17" ht="28.25" customHeight="1" thickBot="1" x14ac:dyDescent="0.25">
      <c r="B47" s="5"/>
      <c r="G47" s="36" t="s">
        <v>55</v>
      </c>
      <c r="H47" s="147" t="s">
        <v>74</v>
      </c>
      <c r="K47" s="6"/>
      <c r="L47" s="225"/>
      <c r="M47" s="179">
        <f>M46+1</f>
        <v>21</v>
      </c>
      <c r="N47" s="180">
        <f>SUM(N27:N46)+N27*(1-M46*Degradation)*(12-MONTH(Datum_Inbetrieb))/12</f>
        <v>109925.10000000002</v>
      </c>
      <c r="O47" s="181">
        <f>O46+(O46-O45)*(12-MONTH(Datum_Inbetrieb))/12</f>
        <v>3927.0518454569765</v>
      </c>
    </row>
    <row r="48" spans="2:17" ht="25.25" customHeight="1" thickTop="1" x14ac:dyDescent="0.15">
      <c r="B48" s="5"/>
      <c r="F48" s="146" t="str">
        <f>D14</f>
        <v>Netzeinspeisung</v>
      </c>
      <c r="G48" s="146">
        <f>J14</f>
        <v>4090.3649999999998</v>
      </c>
      <c r="H48" s="146"/>
      <c r="K48" s="6"/>
    </row>
    <row r="49" spans="2:11" ht="25.25" customHeight="1" x14ac:dyDescent="0.15">
      <c r="B49" s="5"/>
      <c r="F49" s="1" t="str">
        <f>D16</f>
        <v>Eigenverbrauch</v>
      </c>
      <c r="G49" s="146">
        <f>J16</f>
        <v>1444.635</v>
      </c>
      <c r="H49" s="146">
        <f>J16</f>
        <v>1444.635</v>
      </c>
      <c r="K49" s="6"/>
    </row>
    <row r="50" spans="2:11" ht="10.25" customHeight="1" x14ac:dyDescent="0.15">
      <c r="B50" s="5"/>
      <c r="F50" s="1" t="str">
        <f>D18</f>
        <v>Netzbezug</v>
      </c>
      <c r="H50" s="146">
        <f>J18</f>
        <v>2505</v>
      </c>
      <c r="K50" s="6"/>
    </row>
    <row r="51" spans="2:11" ht="25.25" customHeight="1" x14ac:dyDescent="0.15">
      <c r="B51" s="5"/>
      <c r="H51" s="146"/>
      <c r="K51" s="6"/>
    </row>
    <row r="52" spans="2:11" ht="10.25" customHeight="1" x14ac:dyDescent="0.15">
      <c r="B52" s="5"/>
      <c r="K52" s="6"/>
    </row>
    <row r="53" spans="2:11" ht="25.25" customHeight="1" x14ac:dyDescent="0.15">
      <c r="B53" s="5"/>
      <c r="K53" s="6"/>
    </row>
    <row r="54" spans="2:11" ht="25.25" customHeight="1" x14ac:dyDescent="0.15">
      <c r="B54" s="5"/>
      <c r="K54" s="6"/>
    </row>
    <row r="55" spans="2:11" ht="25.25" customHeight="1" thickBot="1" x14ac:dyDescent="0.2">
      <c r="B55" s="5"/>
      <c r="K55" s="6"/>
    </row>
    <row r="56" spans="2:11" ht="32" customHeight="1" thickBot="1" x14ac:dyDescent="0.3">
      <c r="B56" s="160"/>
      <c r="C56" s="156"/>
      <c r="D56" s="156"/>
      <c r="E56" s="156"/>
      <c r="F56" s="157" t="s">
        <v>284</v>
      </c>
      <c r="G56" s="156"/>
      <c r="H56" s="156"/>
      <c r="I56" s="158" t="s">
        <v>75</v>
      </c>
      <c r="J56" s="159">
        <f>(Ertrag_Jahr01-Speicherverl)*1/1000</f>
        <v>5.5350000000000001</v>
      </c>
      <c r="K56" s="161"/>
    </row>
    <row r="70" spans="13:15" ht="25.25" customHeight="1" x14ac:dyDescent="0.15">
      <c r="M70" s="148"/>
      <c r="N70" s="149"/>
      <c r="O70" s="150"/>
    </row>
    <row r="71" spans="13:15" ht="25.25" customHeight="1" x14ac:dyDescent="0.15">
      <c r="M71" s="35"/>
      <c r="N71" s="146"/>
    </row>
    <row r="72" spans="13:15" ht="25.25" customHeight="1" x14ac:dyDescent="0.15">
      <c r="M72" s="35"/>
      <c r="N72" s="146"/>
    </row>
    <row r="73" spans="13:15" ht="25.25" customHeight="1" x14ac:dyDescent="0.15">
      <c r="M73" s="35"/>
      <c r="O73" s="146"/>
    </row>
    <row r="74" spans="13:15" ht="25.25" customHeight="1" x14ac:dyDescent="0.15">
      <c r="M74" s="35"/>
      <c r="O74" s="146"/>
    </row>
    <row r="75" spans="13:15" ht="25.25" customHeight="1" x14ac:dyDescent="0.15">
      <c r="M75" s="148"/>
      <c r="O75" s="151"/>
    </row>
  </sheetData>
  <sheetProtection algorithmName="SHA-512" hashValue="TzVZLOu0v7D8XdZAhr85ev5eVnoEU0M+dpPtdbwP4C3R7kR0Lm6qTnRYeI0VAuRocTpmJRLAwbzlViQHNw7c/Q==" saltValue="NXItcSz/4wUdZLTXYqHt5A==" spinCount="100000" sheet="1" objects="1" scenarios="1"/>
  <conditionalFormatting sqref="O47">
    <cfRule type="cellIs" dxfId="13" priority="14" operator="lessThan">
      <formula>0</formula>
    </cfRule>
  </conditionalFormatting>
  <conditionalFormatting sqref="I25">
    <cfRule type="cellIs" dxfId="12" priority="13" operator="lessThan">
      <formula>0</formula>
    </cfRule>
  </conditionalFormatting>
  <conditionalFormatting sqref="I27">
    <cfRule type="cellIs" dxfId="11" priority="11" operator="lessThan">
      <formula>0</formula>
    </cfRule>
  </conditionalFormatting>
  <conditionalFormatting sqref="E4">
    <cfRule type="containsText" dxfId="10" priority="10" operator="containsText" text="mit Speichersystem">
      <formula>NOT(ISERROR(SEARCH("mit Speichersystem",E4)))</formula>
    </cfRule>
  </conditionalFormatting>
  <conditionalFormatting sqref="E5">
    <cfRule type="containsText" dxfId="9" priority="9" operator="containsText" text="mit Wärmepumpe">
      <formula>NOT(ISERROR(SEARCH("mit Wärmepumpe",E5)))</formula>
    </cfRule>
  </conditionalFormatting>
  <conditionalFormatting sqref="E6">
    <cfRule type="containsText" dxfId="8" priority="8" operator="containsText" text="mit E - Mobilität">
      <formula>NOT(ISERROR(SEARCH("mit E - Mobilität",E6)))</formula>
    </cfRule>
  </conditionalFormatting>
  <conditionalFormatting sqref="I24">
    <cfRule type="cellIs" dxfId="7" priority="6" operator="lessThan">
      <formula>0</formula>
    </cfRule>
  </conditionalFormatting>
  <conditionalFormatting sqref="D20">
    <cfRule type="containsText" dxfId="6" priority="1" operator="containsText" text="Sie verwenden einen Hybrid-WR!">
      <formula>NOT(ISERROR(SEARCH("Sie verwenden einen Hybrid-WR!",D20)))</formula>
    </cfRule>
    <cfRule type="containsText" dxfId="5" priority="5" operator="containsText" text="Sie verwenden einen Hybrid-WR!">
      <formula>NOT(ISERROR(SEARCH("Sie verwenden einen Hybrid-WR!",D20)))</formula>
    </cfRule>
  </conditionalFormatting>
  <conditionalFormatting sqref="E20:J20">
    <cfRule type="expression" dxfId="4" priority="4">
      <formula>$D$20="Sie verwenden einen Hybrid-WR!"</formula>
    </cfRule>
  </conditionalFormatting>
  <conditionalFormatting sqref="M18:R18">
    <cfRule type="expression" dxfId="3" priority="3">
      <formula>$D$20="Sie verwenden einen Hybrid-WR!"</formula>
    </cfRule>
  </conditionalFormatting>
  <conditionalFormatting sqref="M20:R20">
    <cfRule type="expression" dxfId="2" priority="2">
      <formula>$D$20="Sie verwenden einen Hybrid-WR!"</formula>
    </cfRule>
  </conditionalFormatting>
  <printOptions horizontalCentered="1"/>
  <pageMargins left="0.70866141732283505" right="0.70866141732283505" top="0.78740157480314998" bottom="0.78740157480314998" header="0.31496062992126" footer="0.31496062992126"/>
  <pageSetup paperSize="9" scale="58" fitToWidth="0" fitToHeight="0" orientation="portrait" r:id="rId1"/>
  <headerFooter>
    <oddHeader>&amp;L&amp;"Calibri,Standard"&amp;K000000BürgerSolarBeratung&amp;R&amp;"Calibri,Standard"&amp;K000000MetropolSolar</oddHeader>
    <oddFooter>&amp;CAlle Angaben, Berechnungen und Ergebnisse ohne Gewähr</oddFoot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enue">
                <anchor moveWithCells="1" sizeWithCells="1">
                  <from>
                    <xdr:col>12</xdr:col>
                    <xdr:colOff>152400</xdr:colOff>
                    <xdr:row>1</xdr:row>
                    <xdr:rowOff>177800</xdr:rowOff>
                  </from>
                  <to>
                    <xdr:col>13</xdr:col>
                    <xdr:colOff>901700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_Mob">
                <anchor moveWithCells="1" sizeWithCells="1">
                  <from>
                    <xdr:col>12</xdr:col>
                    <xdr:colOff>152400</xdr:colOff>
                    <xdr:row>5</xdr:row>
                    <xdr:rowOff>177800</xdr:rowOff>
                  </from>
                  <to>
                    <xdr:col>13</xdr:col>
                    <xdr:colOff>901700</xdr:colOff>
                    <xdr:row>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Eingaben">
                <anchor moveWithCells="1" sizeWithCells="1">
                  <from>
                    <xdr:col>12</xdr:col>
                    <xdr:colOff>152400</xdr:colOff>
                    <xdr:row>3</xdr:row>
                    <xdr:rowOff>266700</xdr:rowOff>
                  </from>
                  <to>
                    <xdr:col>13</xdr:col>
                    <xdr:colOff>901700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RenditemSmW">
                <anchor moveWithCells="1" sizeWithCells="1">
                  <from>
                    <xdr:col>3</xdr:col>
                    <xdr:colOff>368300</xdr:colOff>
                    <xdr:row>28</xdr:row>
                    <xdr:rowOff>228600</xdr:rowOff>
                  </from>
                  <to>
                    <xdr:col>4</xdr:col>
                    <xdr:colOff>101600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ausgabe">
                <anchor moveWithCells="1" sizeWithCells="1">
                  <from>
                    <xdr:col>12</xdr:col>
                    <xdr:colOff>152400</xdr:colOff>
                    <xdr:row>7</xdr:row>
                    <xdr:rowOff>292100</xdr:rowOff>
                  </from>
                  <to>
                    <xdr:col>13</xdr:col>
                    <xdr:colOff>901700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AE2E17C7-B4CB-4F77-AE02-93A0F5736ADE}">
            <xm:f>Eingaben!$J$51&gt;0</xm:f>
            <x14:dxf>
              <font>
                <b/>
                <i val="0"/>
                <color rgb="FF0000FF"/>
              </font>
            </x14:dxf>
          </x14:cfRule>
          <xm:sqref>E6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7"/>
  <dimension ref="B1:V116"/>
  <sheetViews>
    <sheetView showGridLines="0" topLeftCell="A53" zoomScale="112" zoomScaleNormal="112" zoomScaleSheetLayoutView="80" zoomScalePageLayoutView="70" workbookViewId="0">
      <selection activeCell="K100" sqref="K100"/>
    </sheetView>
  </sheetViews>
  <sheetFormatPr baseColWidth="10" defaultColWidth="10.6640625" defaultRowHeight="25.25" customHeight="1" x14ac:dyDescent="0.15"/>
  <cols>
    <col min="1" max="1" width="1.6640625" style="1" customWidth="1"/>
    <col min="2" max="2" width="1.33203125" style="1" customWidth="1"/>
    <col min="3" max="3" width="11.6640625" style="1" customWidth="1"/>
    <col min="4" max="4" width="13.1640625" style="1" customWidth="1"/>
    <col min="5" max="6" width="12" style="1" customWidth="1"/>
    <col min="7" max="7" width="14.33203125" style="1" customWidth="1"/>
    <col min="8" max="8" width="12.83203125" style="1" customWidth="1"/>
    <col min="9" max="9" width="12.6640625" style="1" customWidth="1"/>
    <col min="10" max="12" width="14" style="1" customWidth="1"/>
    <col min="13" max="13" width="1.33203125" style="1" customWidth="1"/>
    <col min="14" max="16384" width="10.6640625" style="1"/>
  </cols>
  <sheetData>
    <row r="1" spans="2:22" ht="25.25" customHeight="1" thickBot="1" x14ac:dyDescent="0.2">
      <c r="L1" s="150"/>
      <c r="O1" s="258" t="s">
        <v>91</v>
      </c>
    </row>
    <row r="2" spans="2:22" ht="78" customHeight="1" x14ac:dyDescent="0.15">
      <c r="B2" s="400" t="s">
        <v>121</v>
      </c>
      <c r="C2" s="401"/>
      <c r="D2" s="401"/>
      <c r="E2" s="401"/>
      <c r="F2" s="401"/>
      <c r="G2" s="401"/>
      <c r="H2" s="401"/>
      <c r="I2" s="401"/>
      <c r="J2" s="401"/>
      <c r="K2" s="401"/>
      <c r="L2" s="401"/>
      <c r="M2" s="402"/>
      <c r="O2" s="3"/>
      <c r="P2" s="64"/>
      <c r="Q2" s="4"/>
    </row>
    <row r="3" spans="2:22" ht="25.25" customHeight="1" thickBot="1" x14ac:dyDescent="0.2">
      <c r="B3" s="241"/>
      <c r="C3" s="242"/>
      <c r="D3" s="242"/>
      <c r="E3" s="242"/>
      <c r="F3" s="242"/>
      <c r="G3" s="244" t="s">
        <v>99</v>
      </c>
      <c r="H3" s="245">
        <f ca="1">TODAY()</f>
        <v>45039</v>
      </c>
      <c r="I3" s="242"/>
      <c r="J3" s="242"/>
      <c r="K3" s="242"/>
      <c r="L3" s="242"/>
      <c r="M3" s="243"/>
      <c r="O3" s="5"/>
      <c r="Q3" s="6"/>
    </row>
    <row r="4" spans="2:22" ht="5" customHeight="1" thickTop="1" x14ac:dyDescent="0.15">
      <c r="B4" s="237"/>
      <c r="C4" s="238"/>
      <c r="D4" s="238"/>
      <c r="E4" s="238"/>
      <c r="F4" s="238"/>
      <c r="G4" s="238"/>
      <c r="H4" s="238"/>
      <c r="I4" s="238"/>
      <c r="J4" s="238"/>
      <c r="K4" s="238"/>
      <c r="L4" s="238"/>
      <c r="M4" s="239"/>
      <c r="O4" s="5"/>
      <c r="Q4" s="6"/>
    </row>
    <row r="5" spans="2:22" ht="25.25" customHeight="1" x14ac:dyDescent="0.2">
      <c r="B5" s="79"/>
      <c r="C5" s="69" t="s">
        <v>105</v>
      </c>
      <c r="D5" s="69"/>
      <c r="E5" s="397" t="s">
        <v>233</v>
      </c>
      <c r="F5" s="398"/>
      <c r="K5" s="36"/>
      <c r="L5" s="236"/>
      <c r="M5" s="235"/>
      <c r="O5" s="5"/>
      <c r="Q5" s="6"/>
    </row>
    <row r="6" spans="2:22" ht="5" customHeight="1" x14ac:dyDescent="0.2">
      <c r="B6" s="79"/>
      <c r="C6" s="69"/>
      <c r="D6" s="69"/>
      <c r="E6" s="294"/>
      <c r="F6" s="294"/>
      <c r="K6" s="36"/>
      <c r="L6" s="236"/>
      <c r="M6" s="235"/>
      <c r="O6" s="5"/>
      <c r="Q6" s="6"/>
    </row>
    <row r="7" spans="2:22" ht="25.25" customHeight="1" x14ac:dyDescent="0.2">
      <c r="B7" s="79"/>
      <c r="C7" s="69" t="s">
        <v>163</v>
      </c>
      <c r="D7" s="69"/>
      <c r="E7" s="397" t="s">
        <v>233</v>
      </c>
      <c r="F7" s="398"/>
      <c r="G7" s="71" t="s">
        <v>107</v>
      </c>
      <c r="H7" s="397" t="s">
        <v>199</v>
      </c>
      <c r="I7" s="398"/>
      <c r="J7" s="71" t="s">
        <v>108</v>
      </c>
      <c r="K7" s="399" t="s">
        <v>198</v>
      </c>
      <c r="L7" s="398"/>
      <c r="M7" s="6"/>
      <c r="O7" s="5"/>
      <c r="Q7" s="6"/>
    </row>
    <row r="8" spans="2:22" ht="5" customHeight="1" x14ac:dyDescent="0.15">
      <c r="B8" s="79"/>
      <c r="M8" s="6"/>
      <c r="O8" s="5"/>
      <c r="Q8" s="6"/>
    </row>
    <row r="9" spans="2:22" ht="25.25" customHeight="1" thickBot="1" x14ac:dyDescent="0.25">
      <c r="B9" s="79"/>
      <c r="E9" s="397"/>
      <c r="F9" s="398"/>
      <c r="G9" s="71" t="s">
        <v>107</v>
      </c>
      <c r="H9" s="397"/>
      <c r="I9" s="398"/>
      <c r="J9" s="71" t="s">
        <v>108</v>
      </c>
      <c r="K9" s="399"/>
      <c r="L9" s="398"/>
      <c r="M9" s="6"/>
      <c r="O9" s="19"/>
      <c r="P9" s="20"/>
      <c r="Q9" s="42"/>
    </row>
    <row r="10" spans="2:22" ht="28.25" customHeight="1" thickBot="1" x14ac:dyDescent="0.2">
      <c r="B10" s="79"/>
      <c r="C10" s="252" t="s">
        <v>106</v>
      </c>
      <c r="D10" s="20"/>
      <c r="E10" s="20"/>
      <c r="F10" s="20"/>
      <c r="G10" s="20"/>
      <c r="H10" s="20"/>
      <c r="I10" s="20"/>
      <c r="J10" s="20"/>
      <c r="K10" s="20"/>
      <c r="L10" s="20"/>
      <c r="M10" s="6"/>
    </row>
    <row r="11" spans="2:22" ht="5" customHeight="1" thickBot="1" x14ac:dyDescent="0.2">
      <c r="B11" s="79"/>
      <c r="C11" s="240"/>
      <c r="M11" s="6"/>
    </row>
    <row r="12" spans="2:22" ht="28.25" customHeight="1" thickTop="1" x14ac:dyDescent="0.2">
      <c r="B12" s="79"/>
      <c r="C12" s="69" t="s">
        <v>110</v>
      </c>
      <c r="D12" s="69"/>
      <c r="E12" s="397" t="s">
        <v>109</v>
      </c>
      <c r="F12" s="398"/>
      <c r="H12" s="260"/>
      <c r="I12" s="261"/>
      <c r="J12" s="261"/>
      <c r="K12" s="261"/>
      <c r="L12" s="262"/>
      <c r="M12" s="6"/>
      <c r="O12" s="279"/>
      <c r="P12" s="280"/>
      <c r="Q12" s="281"/>
      <c r="S12" s="118" t="s">
        <v>191</v>
      </c>
      <c r="T12" s="2"/>
      <c r="U12" s="2"/>
      <c r="V12" s="2"/>
    </row>
    <row r="13" spans="2:22" ht="5" customHeight="1" x14ac:dyDescent="0.2">
      <c r="B13" s="79"/>
      <c r="C13" s="69"/>
      <c r="D13" s="69"/>
      <c r="E13" s="361"/>
      <c r="F13" s="362"/>
      <c r="H13" s="263"/>
      <c r="I13" s="264"/>
      <c r="J13" s="264"/>
      <c r="K13" s="264"/>
      <c r="L13" s="265"/>
      <c r="M13" s="6"/>
      <c r="O13" s="282"/>
      <c r="Q13" s="283"/>
    </row>
    <row r="14" spans="2:22" ht="28.25" customHeight="1" thickBot="1" x14ac:dyDescent="0.25">
      <c r="B14" s="79"/>
      <c r="C14" s="69" t="s">
        <v>111</v>
      </c>
      <c r="D14" s="69"/>
      <c r="E14" s="397" t="s">
        <v>112</v>
      </c>
      <c r="F14" s="398"/>
      <c r="H14" s="263"/>
      <c r="I14" s="264"/>
      <c r="J14" s="264"/>
      <c r="K14" s="264"/>
      <c r="L14" s="265"/>
      <c r="M14" s="6"/>
      <c r="O14" s="284"/>
      <c r="P14" s="256"/>
      <c r="Q14" s="285"/>
    </row>
    <row r="15" spans="2:22" ht="5" customHeight="1" thickTop="1" x14ac:dyDescent="0.2">
      <c r="B15" s="79"/>
      <c r="C15" s="69"/>
      <c r="D15" s="69"/>
      <c r="E15" s="361"/>
      <c r="F15" s="361"/>
      <c r="H15" s="263"/>
      <c r="I15" s="264"/>
      <c r="J15" s="264"/>
      <c r="K15" s="264"/>
      <c r="L15" s="265"/>
      <c r="M15" s="6"/>
    </row>
    <row r="16" spans="2:22" ht="28.25" customHeight="1" x14ac:dyDescent="0.2">
      <c r="B16" s="79"/>
      <c r="C16" s="69" t="s">
        <v>113</v>
      </c>
      <c r="D16" s="295" t="s">
        <v>198</v>
      </c>
      <c r="E16" s="397" t="s">
        <v>197</v>
      </c>
      <c r="F16" s="398"/>
      <c r="H16" s="263"/>
      <c r="I16" s="309" t="s">
        <v>156</v>
      </c>
      <c r="J16" s="264"/>
      <c r="K16" s="264"/>
      <c r="L16" s="265"/>
      <c r="M16" s="6"/>
    </row>
    <row r="17" spans="2:20" ht="5" customHeight="1" x14ac:dyDescent="0.2">
      <c r="B17" s="79"/>
      <c r="C17" s="69"/>
      <c r="D17" s="69"/>
      <c r="E17" s="363"/>
      <c r="F17" s="363"/>
      <c r="H17" s="263"/>
      <c r="I17" s="264"/>
      <c r="J17" s="264"/>
      <c r="K17" s="264"/>
      <c r="L17" s="265"/>
      <c r="M17" s="6"/>
    </row>
    <row r="18" spans="2:20" ht="28.25" customHeight="1" x14ac:dyDescent="0.2">
      <c r="B18" s="79"/>
      <c r="C18" s="69" t="s">
        <v>107</v>
      </c>
      <c r="D18" s="69"/>
      <c r="E18" s="397" t="s">
        <v>199</v>
      </c>
      <c r="F18" s="398"/>
      <c r="H18" s="263"/>
      <c r="I18" s="264"/>
      <c r="J18" s="264"/>
      <c r="K18" s="264"/>
      <c r="L18" s="265"/>
      <c r="M18" s="6"/>
    </row>
    <row r="19" spans="2:20" ht="5" customHeight="1" x14ac:dyDescent="0.2">
      <c r="B19" s="79"/>
      <c r="C19" s="69"/>
      <c r="D19" s="69"/>
      <c r="E19" s="363"/>
      <c r="F19" s="363"/>
      <c r="H19" s="263"/>
      <c r="I19" s="264"/>
      <c r="J19" s="264"/>
      <c r="K19" s="264"/>
      <c r="L19" s="265"/>
      <c r="M19" s="6"/>
    </row>
    <row r="20" spans="2:20" ht="28.25" customHeight="1" x14ac:dyDescent="0.2">
      <c r="B20" s="79"/>
      <c r="C20" s="69" t="s">
        <v>108</v>
      </c>
      <c r="D20" s="69"/>
      <c r="E20" s="399" t="s">
        <v>198</v>
      </c>
      <c r="F20" s="398"/>
      <c r="H20" s="263"/>
      <c r="I20" s="264"/>
      <c r="J20" s="264"/>
      <c r="K20" s="264"/>
      <c r="L20" s="265"/>
      <c r="M20" s="6"/>
    </row>
    <row r="21" spans="2:20" ht="5" customHeight="1" x14ac:dyDescent="0.15">
      <c r="B21" s="79"/>
      <c r="H21" s="263"/>
      <c r="I21" s="264"/>
      <c r="J21" s="264"/>
      <c r="K21" s="264"/>
      <c r="L21" s="265"/>
      <c r="M21" s="6"/>
    </row>
    <row r="22" spans="2:20" ht="28.25" customHeight="1" x14ac:dyDescent="0.15">
      <c r="B22" s="79"/>
      <c r="H22" s="272"/>
      <c r="I22" s="273"/>
      <c r="J22" s="273"/>
      <c r="K22" s="273"/>
      <c r="L22" s="274"/>
      <c r="M22" s="6"/>
    </row>
    <row r="23" spans="2:20" ht="5" customHeight="1" x14ac:dyDescent="0.15">
      <c r="B23" s="79"/>
      <c r="C23" s="2"/>
      <c r="D23" s="2"/>
      <c r="E23" s="2"/>
      <c r="F23" s="2"/>
      <c r="G23" s="2"/>
      <c r="H23" s="2"/>
      <c r="I23" s="2"/>
      <c r="J23" s="2"/>
      <c r="K23" s="2"/>
      <c r="L23" s="2"/>
      <c r="M23" s="6"/>
    </row>
    <row r="24" spans="2:20" ht="5" customHeight="1" x14ac:dyDescent="0.15">
      <c r="B24" s="79"/>
      <c r="M24" s="6"/>
    </row>
    <row r="25" spans="2:20" ht="25.25" customHeight="1" x14ac:dyDescent="0.2">
      <c r="B25" s="79"/>
      <c r="C25" s="69" t="s">
        <v>115</v>
      </c>
      <c r="D25" s="69"/>
      <c r="E25" s="293">
        <v>400</v>
      </c>
      <c r="F25" s="71" t="s">
        <v>114</v>
      </c>
      <c r="H25" s="260"/>
      <c r="I25" s="261"/>
      <c r="J25" s="261"/>
      <c r="K25" s="261"/>
      <c r="L25" s="262"/>
      <c r="M25" s="6"/>
    </row>
    <row r="26" spans="2:20" ht="5" customHeight="1" x14ac:dyDescent="0.15">
      <c r="B26" s="79"/>
      <c r="E26" s="36"/>
      <c r="H26" s="263"/>
      <c r="I26" s="264"/>
      <c r="J26" s="264"/>
      <c r="K26" s="264"/>
      <c r="L26" s="265"/>
      <c r="M26" s="6"/>
    </row>
    <row r="27" spans="2:20" ht="28.25" customHeight="1" thickBot="1" x14ac:dyDescent="0.2">
      <c r="B27" s="79"/>
      <c r="C27" s="364" t="s">
        <v>116</v>
      </c>
      <c r="D27" s="365" t="s">
        <v>171</v>
      </c>
      <c r="E27" s="365" t="s">
        <v>170</v>
      </c>
      <c r="F27" s="365" t="s">
        <v>178</v>
      </c>
      <c r="H27" s="263"/>
      <c r="I27" s="264"/>
      <c r="J27" s="264"/>
      <c r="K27" s="264"/>
      <c r="L27" s="265"/>
      <c r="M27" s="6"/>
      <c r="T27" s="150"/>
    </row>
    <row r="28" spans="2:20" ht="5" customHeight="1" thickTop="1" x14ac:dyDescent="0.15">
      <c r="B28" s="79"/>
      <c r="C28" s="366"/>
      <c r="D28" s="366"/>
      <c r="E28" s="366"/>
      <c r="F28" s="366"/>
      <c r="H28" s="263"/>
      <c r="I28" s="264"/>
      <c r="J28" s="264"/>
      <c r="K28" s="264"/>
      <c r="L28" s="265"/>
      <c r="M28" s="6"/>
      <c r="T28" s="150"/>
    </row>
    <row r="29" spans="2:20" ht="25.25" customHeight="1" x14ac:dyDescent="0.2">
      <c r="B29" s="79"/>
      <c r="C29" s="360">
        <v>18</v>
      </c>
      <c r="D29" s="359" t="s">
        <v>187</v>
      </c>
      <c r="E29" s="360">
        <v>30</v>
      </c>
      <c r="F29" s="389" t="s">
        <v>243</v>
      </c>
      <c r="H29" s="263"/>
      <c r="I29" s="309" t="s">
        <v>244</v>
      </c>
      <c r="J29" s="266"/>
      <c r="K29" s="267"/>
      <c r="L29" s="265"/>
      <c r="M29" s="6"/>
      <c r="T29" s="71"/>
    </row>
    <row r="30" spans="2:20" ht="5" customHeight="1" x14ac:dyDescent="0.2">
      <c r="B30" s="79"/>
      <c r="C30" s="367"/>
      <c r="D30" s="368"/>
      <c r="E30" s="367"/>
      <c r="F30" s="369"/>
      <c r="H30" s="263"/>
      <c r="I30" s="268"/>
      <c r="J30" s="266"/>
      <c r="K30" s="267"/>
      <c r="L30" s="265"/>
      <c r="M30" s="6"/>
      <c r="T30" s="71"/>
    </row>
    <row r="31" spans="2:20" ht="25.25" customHeight="1" x14ac:dyDescent="0.2">
      <c r="B31" s="79"/>
      <c r="C31" s="360"/>
      <c r="D31" s="359"/>
      <c r="E31" s="360"/>
      <c r="F31" s="389"/>
      <c r="H31" s="263"/>
      <c r="I31" s="309" t="s">
        <v>220</v>
      </c>
      <c r="J31" s="269"/>
      <c r="K31" s="267"/>
      <c r="L31" s="265"/>
      <c r="M31" s="6"/>
      <c r="T31" s="71"/>
    </row>
    <row r="32" spans="2:20" ht="5" customHeight="1" x14ac:dyDescent="0.2">
      <c r="B32" s="79"/>
      <c r="C32" s="360"/>
      <c r="D32" s="359"/>
      <c r="E32" s="360"/>
      <c r="F32" s="389"/>
      <c r="H32" s="263"/>
      <c r="I32" s="268"/>
      <c r="J32" s="269"/>
      <c r="K32" s="267"/>
      <c r="L32" s="265"/>
      <c r="M32" s="6"/>
      <c r="T32" s="71"/>
    </row>
    <row r="33" spans="2:20" ht="25.25" customHeight="1" x14ac:dyDescent="0.2">
      <c r="B33" s="79"/>
      <c r="C33" s="360"/>
      <c r="D33" s="359"/>
      <c r="E33" s="360"/>
      <c r="F33" s="389"/>
      <c r="H33" s="263"/>
      <c r="I33" s="270"/>
      <c r="J33" s="271"/>
      <c r="K33" s="267"/>
      <c r="L33" s="265"/>
      <c r="M33" s="6"/>
      <c r="T33" s="71"/>
    </row>
    <row r="34" spans="2:20" ht="5" customHeight="1" x14ac:dyDescent="0.2">
      <c r="B34" s="79"/>
      <c r="C34" s="360"/>
      <c r="D34" s="359"/>
      <c r="E34" s="360"/>
      <c r="F34" s="389"/>
      <c r="H34" s="263"/>
      <c r="I34" s="264"/>
      <c r="J34" s="264"/>
      <c r="K34" s="264"/>
      <c r="L34" s="265"/>
      <c r="M34" s="6"/>
      <c r="T34" s="71"/>
    </row>
    <row r="35" spans="2:20" ht="25.25" customHeight="1" x14ac:dyDescent="0.2">
      <c r="B35" s="79"/>
      <c r="C35" s="360"/>
      <c r="D35" s="359"/>
      <c r="E35" s="360"/>
      <c r="F35" s="389"/>
      <c r="H35" s="272"/>
      <c r="I35" s="273"/>
      <c r="J35" s="273"/>
      <c r="K35" s="273"/>
      <c r="L35" s="274"/>
      <c r="M35" s="6"/>
      <c r="T35" s="71"/>
    </row>
    <row r="36" spans="2:20" ht="5" customHeight="1" x14ac:dyDescent="0.15">
      <c r="B36" s="79"/>
      <c r="C36" s="2"/>
      <c r="D36" s="2"/>
      <c r="E36" s="2"/>
      <c r="F36" s="2"/>
      <c r="G36" s="2"/>
      <c r="H36" s="2"/>
      <c r="I36" s="2"/>
      <c r="J36" s="2"/>
      <c r="K36" s="2"/>
      <c r="L36" s="2"/>
      <c r="M36" s="6"/>
    </row>
    <row r="37" spans="2:20" ht="5" customHeight="1" x14ac:dyDescent="0.15">
      <c r="B37" s="79"/>
      <c r="M37" s="6"/>
    </row>
    <row r="38" spans="2:20" ht="25.25" customHeight="1" x14ac:dyDescent="0.2">
      <c r="B38" s="79"/>
      <c r="C38" s="162" t="s">
        <v>117</v>
      </c>
      <c r="D38" s="162"/>
      <c r="E38" s="162"/>
      <c r="F38" s="162"/>
      <c r="G38" s="2"/>
      <c r="H38" s="286" t="str">
        <f>PV_Leistung&amp;" "&amp;"kWp"</f>
        <v>7.38 kWp</v>
      </c>
      <c r="I38" s="162" t="str">
        <f>"("&amp;SUM(C29:C35)&amp;" "&amp;"Module"&amp;" "&amp;"à"&amp;" "&amp;E25&amp;" "&amp;"Wp"&amp;")."</f>
        <v>(18 Module à 400 Wp).</v>
      </c>
      <c r="J38" s="162"/>
      <c r="K38" s="162"/>
      <c r="L38" s="287"/>
      <c r="M38" s="6"/>
    </row>
    <row r="39" spans="2:20" ht="25.25" customHeight="1" x14ac:dyDescent="0.2">
      <c r="B39" s="79"/>
      <c r="C39" s="162" t="s">
        <v>164</v>
      </c>
      <c r="D39" s="162"/>
      <c r="E39" s="287">
        <f>Ergebnisse!I24</f>
        <v>15960</v>
      </c>
      <c r="F39" s="119" t="s">
        <v>209</v>
      </c>
      <c r="G39" s="286"/>
      <c r="H39" s="162"/>
      <c r="I39" s="162"/>
      <c r="J39" s="162"/>
      <c r="K39" s="162"/>
      <c r="L39" s="287"/>
      <c r="M39" s="6"/>
    </row>
    <row r="40" spans="2:20" ht="25.25" customHeight="1" x14ac:dyDescent="0.2">
      <c r="B40" s="79"/>
      <c r="C40" s="162" t="s">
        <v>166</v>
      </c>
      <c r="D40" s="162"/>
      <c r="E40" s="288" t="str">
        <f>IF(Speicher_Akku=0,"ohne Speicher.","mit einem Speicher von"&amp;" "&amp;Speicher_Akku&amp;" "&amp;"kWh"&amp;" "&amp;"für"&amp;" netto "&amp;ROUND(Speicher_Akku*Eingaben!J57,0)&amp;" "&amp;"€")</f>
        <v>ohne Speicher.</v>
      </c>
      <c r="F40" s="119"/>
      <c r="G40" s="305"/>
      <c r="H40" s="287"/>
      <c r="I40" s="162"/>
      <c r="J40" s="162"/>
      <c r="K40" s="162"/>
      <c r="L40" s="287"/>
      <c r="M40" s="6"/>
    </row>
    <row r="41" spans="2:20" ht="25.25" customHeight="1" x14ac:dyDescent="0.2">
      <c r="B41" s="79"/>
      <c r="C41" s="162" t="s">
        <v>165</v>
      </c>
      <c r="D41" s="162"/>
      <c r="E41" s="162"/>
      <c r="F41" s="69"/>
      <c r="G41" s="69"/>
      <c r="H41" s="376">
        <f>ROUND(Ertrag_Jahr01,-2)</f>
        <v>5500</v>
      </c>
      <c r="I41" s="289" t="s">
        <v>192</v>
      </c>
      <c r="J41" s="162"/>
      <c r="L41" s="287"/>
      <c r="M41" s="6"/>
    </row>
    <row r="42" spans="2:20" ht="25.25" customHeight="1" x14ac:dyDescent="0.2">
      <c r="B42" s="79"/>
      <c r="C42" s="119" t="s">
        <v>118</v>
      </c>
      <c r="D42" s="119"/>
      <c r="E42" s="119"/>
      <c r="F42" s="119"/>
      <c r="G42" s="288" t="str">
        <f>IF(Status_EA&gt;0,"wurde berücksichtigt.","wurde nicht berücksichtigt.")</f>
        <v>wurde nicht berücksichtigt.</v>
      </c>
      <c r="H42" s="119"/>
      <c r="I42" s="119"/>
      <c r="J42" s="119"/>
      <c r="K42" s="119"/>
      <c r="L42" s="119"/>
      <c r="M42" s="6"/>
    </row>
    <row r="43" spans="2:20" ht="25.25" customHeight="1" x14ac:dyDescent="0.2">
      <c r="B43" s="79"/>
      <c r="C43" s="119" t="s">
        <v>119</v>
      </c>
      <c r="D43" s="119"/>
      <c r="E43" s="119"/>
      <c r="F43" s="119"/>
      <c r="G43" s="119"/>
      <c r="H43" s="288" t="str">
        <f>IF(Strom_WP&gt;0,"wurde berücksichtigt.","wurde nicht berücksichtigt.")</f>
        <v>wurde nicht berücksichtigt.</v>
      </c>
      <c r="I43" s="119"/>
      <c r="J43" s="119"/>
      <c r="K43" s="119"/>
      <c r="L43" s="119"/>
      <c r="M43" s="6"/>
    </row>
    <row r="44" spans="2:20" ht="25.25" customHeight="1" x14ac:dyDescent="0.25">
      <c r="B44" s="79"/>
      <c r="C44" s="119" t="s">
        <v>127</v>
      </c>
      <c r="D44" s="119"/>
      <c r="E44" s="377">
        <f>Ergebnisse!J56</f>
        <v>5.5350000000000001</v>
      </c>
      <c r="F44" s="119" t="s">
        <v>159</v>
      </c>
      <c r="G44" s="119"/>
      <c r="H44" s="119"/>
      <c r="I44" s="119"/>
      <c r="J44" s="119"/>
      <c r="K44" s="119"/>
      <c r="L44" s="119"/>
      <c r="M44" s="6"/>
    </row>
    <row r="45" spans="2:20" ht="10.25" customHeight="1" x14ac:dyDescent="0.15">
      <c r="B45" s="79"/>
      <c r="M45" s="6"/>
    </row>
    <row r="46" spans="2:20" ht="25.25" customHeight="1" x14ac:dyDescent="0.2">
      <c r="B46" s="79"/>
      <c r="C46" s="72" t="s">
        <v>120</v>
      </c>
      <c r="M46" s="6"/>
    </row>
    <row r="47" spans="2:20" ht="25.25" customHeight="1" x14ac:dyDescent="0.2">
      <c r="B47" s="79"/>
      <c r="C47" s="290"/>
      <c r="D47" s="291"/>
      <c r="E47" s="291"/>
      <c r="F47" s="291"/>
      <c r="G47" s="291"/>
      <c r="H47" s="291"/>
      <c r="I47" s="291"/>
      <c r="J47" s="291"/>
      <c r="K47" s="291"/>
      <c r="L47" s="292"/>
      <c r="M47" s="6"/>
    </row>
    <row r="48" spans="2:20" ht="25.25" customHeight="1" x14ac:dyDescent="0.2">
      <c r="B48" s="79"/>
      <c r="C48" s="290"/>
      <c r="D48" s="291"/>
      <c r="E48" s="291"/>
      <c r="F48" s="291"/>
      <c r="G48" s="291"/>
      <c r="H48" s="291"/>
      <c r="I48" s="291"/>
      <c r="J48" s="291"/>
      <c r="K48" s="291"/>
      <c r="L48" s="292"/>
      <c r="M48" s="6"/>
    </row>
    <row r="49" spans="2:13" ht="25.25" customHeight="1" x14ac:dyDescent="0.2">
      <c r="B49" s="79"/>
      <c r="C49" s="290"/>
      <c r="D49" s="291"/>
      <c r="E49" s="291"/>
      <c r="F49" s="291"/>
      <c r="G49" s="291"/>
      <c r="H49" s="291"/>
      <c r="I49" s="291"/>
      <c r="J49" s="291"/>
      <c r="K49" s="291"/>
      <c r="L49" s="292"/>
      <c r="M49" s="6"/>
    </row>
    <row r="50" spans="2:13" ht="16.25" customHeight="1" x14ac:dyDescent="0.15">
      <c r="B50" s="79"/>
      <c r="M50" s="6"/>
    </row>
    <row r="51" spans="2:13" ht="25.25" customHeight="1" x14ac:dyDescent="0.2">
      <c r="B51" s="79"/>
      <c r="C51" s="162" t="s">
        <v>123</v>
      </c>
      <c r="D51" s="2"/>
      <c r="E51" s="2"/>
      <c r="F51" s="2"/>
      <c r="G51" s="2"/>
      <c r="H51" s="2"/>
      <c r="I51" s="2"/>
      <c r="J51" s="2"/>
      <c r="K51" s="2"/>
      <c r="L51" s="2"/>
      <c r="M51" s="6"/>
    </row>
    <row r="52" spans="2:13" ht="25.25" customHeight="1" x14ac:dyDescent="0.2">
      <c r="B52" s="79"/>
      <c r="C52" s="119" t="s">
        <v>124</v>
      </c>
      <c r="D52" s="21"/>
      <c r="E52" s="21"/>
      <c r="F52" s="21"/>
      <c r="G52" s="21"/>
      <c r="H52" s="21"/>
      <c r="I52" s="21"/>
      <c r="J52" s="21"/>
      <c r="K52" s="21"/>
      <c r="L52" s="21"/>
      <c r="M52" s="6"/>
    </row>
    <row r="53" spans="2:13" ht="25.25" customHeight="1" x14ac:dyDescent="0.2">
      <c r="B53" s="79"/>
      <c r="C53" s="162" t="s">
        <v>158</v>
      </c>
      <c r="D53" s="2"/>
      <c r="E53" s="2"/>
      <c r="F53" s="2"/>
      <c r="G53" s="2"/>
      <c r="H53" s="2"/>
      <c r="I53" s="2"/>
      <c r="J53" s="2"/>
      <c r="K53" s="2"/>
      <c r="L53" s="2"/>
      <c r="M53" s="6"/>
    </row>
    <row r="54" spans="2:13" ht="25.25" customHeight="1" x14ac:dyDescent="0.2">
      <c r="B54" s="79"/>
      <c r="C54" s="119" t="s">
        <v>157</v>
      </c>
      <c r="D54" s="21"/>
      <c r="E54" s="21"/>
      <c r="F54" s="21"/>
      <c r="G54" s="21"/>
      <c r="H54" s="21"/>
      <c r="I54" s="21"/>
      <c r="J54" s="21"/>
      <c r="K54" s="21"/>
      <c r="L54" s="21"/>
      <c r="M54" s="6"/>
    </row>
    <row r="55" spans="2:13" ht="15" customHeight="1" thickBot="1" x14ac:dyDescent="0.2">
      <c r="B55" s="253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42"/>
    </row>
    <row r="56" spans="2:13" ht="78" customHeight="1" x14ac:dyDescent="0.15">
      <c r="B56" s="400" t="s">
        <v>122</v>
      </c>
      <c r="C56" s="401"/>
      <c r="D56" s="401"/>
      <c r="E56" s="401"/>
      <c r="F56" s="401"/>
      <c r="G56" s="401"/>
      <c r="H56" s="401"/>
      <c r="I56" s="401"/>
      <c r="J56" s="401"/>
      <c r="K56" s="401"/>
      <c r="L56" s="401"/>
      <c r="M56" s="402"/>
    </row>
    <row r="57" spans="2:13" ht="25.25" customHeight="1" thickBot="1" x14ac:dyDescent="0.2">
      <c r="B57" s="255"/>
      <c r="C57" s="256"/>
      <c r="D57" s="256"/>
      <c r="E57" s="256"/>
      <c r="F57" s="256"/>
      <c r="G57" s="244" t="s">
        <v>99</v>
      </c>
      <c r="H57" s="245">
        <f ca="1">TODAY()</f>
        <v>45039</v>
      </c>
      <c r="I57" s="256"/>
      <c r="J57" s="256"/>
      <c r="K57" s="256"/>
      <c r="L57" s="256"/>
      <c r="M57" s="257"/>
    </row>
    <row r="58" spans="2:13" ht="5" customHeight="1" thickTop="1" x14ac:dyDescent="0.15">
      <c r="B58" s="5"/>
      <c r="M58" s="6"/>
    </row>
    <row r="59" spans="2:13" ht="25.25" customHeight="1" x14ac:dyDescent="0.2">
      <c r="B59" s="5"/>
      <c r="C59" s="69" t="s">
        <v>105</v>
      </c>
      <c r="D59" s="69"/>
      <c r="E59" s="403" t="str">
        <f>IF(E5="","",E5)</f>
        <v>xxx</v>
      </c>
      <c r="F59" s="404"/>
      <c r="G59" s="69"/>
      <c r="H59" s="69"/>
      <c r="I59" s="69"/>
      <c r="J59" s="69"/>
      <c r="K59" s="69"/>
      <c r="L59" s="69"/>
      <c r="M59" s="6"/>
    </row>
    <row r="60" spans="2:13" ht="5" customHeight="1" x14ac:dyDescent="0.2">
      <c r="B60" s="5"/>
      <c r="C60" s="69"/>
      <c r="D60" s="69"/>
      <c r="E60" s="69"/>
      <c r="F60" s="69"/>
      <c r="G60" s="69"/>
      <c r="H60" s="69"/>
      <c r="I60" s="69"/>
      <c r="J60" s="69"/>
      <c r="K60" s="69"/>
      <c r="L60" s="69"/>
      <c r="M60" s="6"/>
    </row>
    <row r="61" spans="2:13" ht="25.25" customHeight="1" x14ac:dyDescent="0.2">
      <c r="B61" s="5"/>
      <c r="C61" s="69" t="s">
        <v>163</v>
      </c>
      <c r="D61" s="69"/>
      <c r="E61" s="403" t="str">
        <f>IF(E7="","",E7)</f>
        <v>xxx</v>
      </c>
      <c r="F61" s="404"/>
      <c r="G61" s="71" t="s">
        <v>107</v>
      </c>
      <c r="H61" s="403" t="str">
        <f>IF(H7="","",H7)</f>
        <v>xxxxxx - 1234587</v>
      </c>
      <c r="I61" s="405"/>
      <c r="J61" s="71" t="s">
        <v>108</v>
      </c>
      <c r="K61" s="403" t="str">
        <f>IF(K7="","",K7)</f>
        <v>xxxxxx</v>
      </c>
      <c r="L61" s="405"/>
      <c r="M61" s="6"/>
    </row>
    <row r="62" spans="2:13" ht="5" customHeight="1" x14ac:dyDescent="0.15">
      <c r="B62" s="5"/>
      <c r="M62" s="6"/>
    </row>
    <row r="63" spans="2:13" ht="25.25" customHeight="1" x14ac:dyDescent="0.2">
      <c r="B63" s="5"/>
      <c r="E63" s="403" t="str">
        <f>IF(E9="","",E9)</f>
        <v/>
      </c>
      <c r="F63" s="404"/>
      <c r="G63" s="71" t="s">
        <v>107</v>
      </c>
      <c r="H63" s="403" t="str">
        <f>IF(H9="","",H9)</f>
        <v/>
      </c>
      <c r="I63" s="405"/>
      <c r="J63" s="71" t="s">
        <v>108</v>
      </c>
      <c r="K63" s="403" t="str">
        <f>IF(K9="","",K9)</f>
        <v/>
      </c>
      <c r="L63" s="405"/>
      <c r="M63" s="6"/>
    </row>
    <row r="64" spans="2:13" ht="15" customHeight="1" x14ac:dyDescent="0.15">
      <c r="B64" s="5"/>
      <c r="M64" s="6"/>
    </row>
    <row r="65" spans="2:13" ht="25.25" customHeight="1" x14ac:dyDescent="0.2">
      <c r="B65" s="5"/>
      <c r="C65" s="69" t="s">
        <v>129</v>
      </c>
      <c r="D65" s="69"/>
      <c r="E65" s="296" t="s">
        <v>125</v>
      </c>
      <c r="F65" s="293"/>
      <c r="G65" s="293"/>
      <c r="H65" s="293"/>
      <c r="I65" s="293"/>
      <c r="J65" s="293"/>
      <c r="K65" s="293"/>
      <c r="L65" s="293"/>
      <c r="M65" s="6"/>
    </row>
    <row r="66" spans="2:13" ht="18" customHeight="1" x14ac:dyDescent="0.15">
      <c r="B66" s="5"/>
      <c r="M66" s="6"/>
    </row>
    <row r="67" spans="2:13" ht="25.25" customHeight="1" x14ac:dyDescent="0.2">
      <c r="B67" s="5"/>
      <c r="C67" s="69" t="str">
        <f>IF(Speicherverl&gt;0,"Haushalt incl. Sp.verlust:","Haushalt:")</f>
        <v>Haushalt:</v>
      </c>
      <c r="D67" s="69"/>
      <c r="E67" s="297">
        <f>Strom_HH+Speicherverl</f>
        <v>3800</v>
      </c>
      <c r="F67" s="69" t="s">
        <v>126</v>
      </c>
      <c r="H67" s="246"/>
      <c r="I67" s="9"/>
      <c r="J67" s="9"/>
      <c r="K67" s="9"/>
      <c r="L67" s="247"/>
      <c r="M67" s="6"/>
    </row>
    <row r="68" spans="2:13" ht="5" customHeight="1" x14ac:dyDescent="0.2">
      <c r="B68" s="5"/>
      <c r="C68" s="69"/>
      <c r="D68" s="69"/>
      <c r="E68" s="69"/>
      <c r="F68" s="69"/>
      <c r="H68" s="248"/>
      <c r="L68" s="249"/>
      <c r="M68" s="6"/>
    </row>
    <row r="69" spans="2:13" ht="25.25" customHeight="1" x14ac:dyDescent="0.2">
      <c r="B69" s="5"/>
      <c r="C69" s="69" t="s">
        <v>130</v>
      </c>
      <c r="D69" s="69"/>
      <c r="E69" s="297">
        <f>Strom_WP</f>
        <v>0</v>
      </c>
      <c r="F69" s="69" t="s">
        <v>126</v>
      </c>
      <c r="H69" s="248"/>
      <c r="L69" s="249"/>
      <c r="M69" s="6"/>
    </row>
    <row r="70" spans="2:13" ht="5" customHeight="1" x14ac:dyDescent="0.2">
      <c r="B70" s="5"/>
      <c r="C70" s="69"/>
      <c r="D70" s="69"/>
      <c r="E70" s="69"/>
      <c r="F70" s="69"/>
      <c r="H70" s="248"/>
      <c r="L70" s="249"/>
      <c r="M70" s="6"/>
    </row>
    <row r="71" spans="2:13" ht="25.25" customHeight="1" x14ac:dyDescent="0.2">
      <c r="B71" s="5"/>
      <c r="C71" s="69" t="s">
        <v>128</v>
      </c>
      <c r="D71" s="69"/>
      <c r="E71" s="297">
        <f>Strom_EMOB</f>
        <v>0</v>
      </c>
      <c r="F71" s="69" t="s">
        <v>126</v>
      </c>
      <c r="H71" s="248"/>
      <c r="L71" s="249"/>
      <c r="M71" s="6"/>
    </row>
    <row r="72" spans="2:13" ht="5" customHeight="1" thickBot="1" x14ac:dyDescent="0.2">
      <c r="B72" s="5"/>
      <c r="C72" s="254"/>
      <c r="D72" s="254"/>
      <c r="E72" s="254"/>
      <c r="F72" s="254"/>
      <c r="H72" s="248"/>
      <c r="L72" s="249"/>
      <c r="M72" s="6"/>
    </row>
    <row r="73" spans="2:13" ht="25.25" customHeight="1" thickTop="1" x14ac:dyDescent="0.2">
      <c r="B73" s="5"/>
      <c r="C73" s="298" t="s">
        <v>137</v>
      </c>
      <c r="D73" s="299"/>
      <c r="E73" s="358">
        <f>SUM(E67:E71)</f>
        <v>3800</v>
      </c>
      <c r="F73" s="299" t="s">
        <v>126</v>
      </c>
      <c r="H73" s="248"/>
      <c r="L73" s="249"/>
      <c r="M73" s="6"/>
    </row>
    <row r="74" spans="2:13" ht="20" customHeight="1" x14ac:dyDescent="0.15">
      <c r="B74" s="5"/>
      <c r="H74" s="250"/>
      <c r="I74" s="2"/>
      <c r="J74" s="2"/>
      <c r="K74" s="2"/>
      <c r="L74" s="251"/>
      <c r="M74" s="6"/>
    </row>
    <row r="75" spans="2:13" ht="20" customHeight="1" thickBot="1" x14ac:dyDescent="0.25">
      <c r="B75" s="5"/>
      <c r="C75" s="300" t="s">
        <v>234</v>
      </c>
      <c r="D75" s="20"/>
      <c r="E75" s="20"/>
      <c r="F75" s="20"/>
      <c r="G75" s="20"/>
      <c r="H75" s="20"/>
      <c r="I75" s="20"/>
      <c r="J75" s="20"/>
      <c r="K75" s="20"/>
      <c r="L75" s="20"/>
      <c r="M75" s="6"/>
    </row>
    <row r="76" spans="2:13" ht="5" customHeight="1" x14ac:dyDescent="0.15">
      <c r="B76" s="5"/>
      <c r="M76" s="6"/>
    </row>
    <row r="77" spans="2:13" ht="25.25" customHeight="1" x14ac:dyDescent="0.2">
      <c r="B77" s="5"/>
      <c r="C77" s="162" t="s">
        <v>131</v>
      </c>
      <c r="D77" s="162"/>
      <c r="E77" s="162"/>
      <c r="F77" s="162"/>
      <c r="G77" s="378">
        <f>ROUND(Ertrag_Jahr01,-2)</f>
        <v>5500</v>
      </c>
      <c r="H77" s="162" t="s">
        <v>126</v>
      </c>
      <c r="I77" s="69"/>
      <c r="J77" s="69"/>
      <c r="K77" s="69"/>
      <c r="L77" s="69"/>
      <c r="M77" s="6"/>
    </row>
    <row r="78" spans="2:13" ht="5" customHeight="1" x14ac:dyDescent="0.2">
      <c r="B78" s="5"/>
      <c r="C78" s="69"/>
      <c r="D78" s="69"/>
      <c r="E78" s="69"/>
      <c r="F78" s="69"/>
      <c r="G78" s="69"/>
      <c r="H78" s="69"/>
      <c r="I78" s="69"/>
      <c r="J78" s="69"/>
      <c r="K78" s="69"/>
      <c r="L78" s="69"/>
      <c r="M78" s="6"/>
    </row>
    <row r="79" spans="2:13" ht="25.25" customHeight="1" x14ac:dyDescent="0.2">
      <c r="B79" s="5"/>
      <c r="C79" s="162" t="s">
        <v>132</v>
      </c>
      <c r="D79" s="162"/>
      <c r="E79" s="162"/>
      <c r="F79" s="162"/>
      <c r="G79" s="378">
        <f>ROUND(Eigenverbrauch,-2)</f>
        <v>1400</v>
      </c>
      <c r="H79" s="162" t="s">
        <v>126</v>
      </c>
      <c r="I79" s="301" t="s">
        <v>133</v>
      </c>
      <c r="J79" s="338">
        <f>Eigenverbrauch/Ertrag_Jahr01</f>
        <v>0.26100000000000001</v>
      </c>
      <c r="K79" s="162" t="s">
        <v>134</v>
      </c>
      <c r="L79" s="162"/>
      <c r="M79" s="6"/>
    </row>
    <row r="80" spans="2:13" ht="5" customHeight="1" x14ac:dyDescent="0.2">
      <c r="B80" s="5"/>
      <c r="C80" s="69"/>
      <c r="D80" s="69"/>
      <c r="E80" s="69"/>
      <c r="F80" s="69"/>
      <c r="G80" s="69"/>
      <c r="H80" s="69"/>
      <c r="I80" s="69"/>
      <c r="J80" s="69"/>
      <c r="K80" s="69"/>
      <c r="L80" s="69"/>
      <c r="M80" s="6"/>
    </row>
    <row r="81" spans="2:13" ht="25.25" customHeight="1" x14ac:dyDescent="0.2">
      <c r="B81" s="5"/>
      <c r="C81" s="162" t="s">
        <v>225</v>
      </c>
      <c r="D81" s="162"/>
      <c r="E81" s="162"/>
      <c r="F81" s="162"/>
      <c r="G81" s="378">
        <f>G77-G79</f>
        <v>4100</v>
      </c>
      <c r="H81" s="162" t="s">
        <v>126</v>
      </c>
      <c r="I81" s="301" t="s">
        <v>135</v>
      </c>
      <c r="J81" s="302">
        <f>Einspeis_Verg</f>
        <v>8.1999999999999993</v>
      </c>
      <c r="K81" s="162" t="s">
        <v>246</v>
      </c>
      <c r="L81" s="162"/>
      <c r="M81" s="6"/>
    </row>
    <row r="82" spans="2:13" ht="5" customHeight="1" x14ac:dyDescent="0.2">
      <c r="B82" s="5"/>
      <c r="C82" s="69"/>
      <c r="D82" s="69"/>
      <c r="E82" s="69"/>
      <c r="F82" s="69"/>
      <c r="G82" s="69"/>
      <c r="H82" s="69"/>
      <c r="I82" s="69"/>
      <c r="J82" s="69"/>
      <c r="K82" s="69"/>
      <c r="L82" s="69"/>
      <c r="M82" s="6"/>
    </row>
    <row r="83" spans="2:13" ht="25.25" customHeight="1" x14ac:dyDescent="0.2">
      <c r="B83" s="5"/>
      <c r="C83" s="162" t="s">
        <v>136</v>
      </c>
      <c r="D83" s="162"/>
      <c r="E83" s="162"/>
      <c r="F83" s="162"/>
      <c r="G83" s="378">
        <f>ROUND(G81*J81/100,-1)</f>
        <v>340</v>
      </c>
      <c r="H83" s="162" t="s">
        <v>236</v>
      </c>
      <c r="I83" s="69"/>
      <c r="J83" s="69"/>
      <c r="K83" s="69"/>
      <c r="L83" s="69"/>
      <c r="M83" s="6"/>
    </row>
    <row r="84" spans="2:13" ht="5" customHeight="1" x14ac:dyDescent="0.2">
      <c r="B84" s="5"/>
      <c r="C84" s="69"/>
      <c r="D84" s="69"/>
      <c r="E84" s="69"/>
      <c r="F84" s="69"/>
      <c r="G84" s="69"/>
      <c r="H84" s="69"/>
      <c r="I84" s="69"/>
      <c r="J84" s="69"/>
      <c r="K84" s="69"/>
      <c r="L84" s="69"/>
      <c r="M84" s="6"/>
    </row>
    <row r="85" spans="2:13" ht="25.25" customHeight="1" x14ac:dyDescent="0.2">
      <c r="B85" s="5"/>
      <c r="C85" s="162" t="s">
        <v>176</v>
      </c>
      <c r="D85" s="162"/>
      <c r="E85" s="162"/>
      <c r="F85" s="162"/>
      <c r="G85" s="378">
        <f>ROUND(Ergebnisse!J18,-1)</f>
        <v>2510</v>
      </c>
      <c r="H85" s="162" t="s">
        <v>126</v>
      </c>
      <c r="I85" s="162" t="str">
        <f>IF(Speicherverl=0,"","Speicherverluste betragen")</f>
        <v/>
      </c>
      <c r="J85" s="162"/>
      <c r="K85" s="379" t="str">
        <f>IF(Speicherverl=0,"",ROUND(Speicherverl,-1))</f>
        <v/>
      </c>
      <c r="L85" s="2" t="str">
        <f>IF(Speicherverl=0,"","kWh/a")</f>
        <v/>
      </c>
      <c r="M85" s="6"/>
    </row>
    <row r="86" spans="2:13" ht="5" customHeight="1" x14ac:dyDescent="0.2">
      <c r="B86" s="5"/>
      <c r="C86" s="69"/>
      <c r="D86" s="69"/>
      <c r="E86" s="69"/>
      <c r="F86" s="69"/>
      <c r="G86" s="69"/>
      <c r="H86" s="69"/>
      <c r="I86" s="69"/>
      <c r="J86" s="69"/>
      <c r="K86" s="69"/>
      <c r="L86" s="69"/>
      <c r="M86" s="6"/>
    </row>
    <row r="87" spans="2:13" ht="25.25" customHeight="1" x14ac:dyDescent="0.2">
      <c r="B87" s="5"/>
      <c r="C87" s="162" t="s">
        <v>186</v>
      </c>
      <c r="D87" s="162"/>
      <c r="E87" s="162"/>
      <c r="F87" s="162"/>
      <c r="G87" s="384">
        <f>Eigenverbrauch/E73</f>
        <v>0.38016710526315789</v>
      </c>
      <c r="H87" s="162" t="s">
        <v>138</v>
      </c>
      <c r="I87" s="301"/>
      <c r="J87" s="162"/>
      <c r="K87" s="162"/>
      <c r="L87" s="162"/>
      <c r="M87" s="6"/>
    </row>
    <row r="88" spans="2:13" ht="18" customHeight="1" x14ac:dyDescent="0.15">
      <c r="B88" s="5"/>
      <c r="M88" s="6"/>
    </row>
    <row r="89" spans="2:13" ht="22.25" customHeight="1" thickBot="1" x14ac:dyDescent="0.25">
      <c r="B89" s="5"/>
      <c r="C89" s="300" t="s">
        <v>235</v>
      </c>
      <c r="D89" s="303"/>
      <c r="E89" s="303"/>
      <c r="F89" s="303"/>
      <c r="G89" s="303"/>
      <c r="H89" s="303"/>
      <c r="I89" s="303"/>
      <c r="J89" s="303"/>
      <c r="K89" s="303"/>
      <c r="L89" s="303"/>
      <c r="M89" s="6"/>
    </row>
    <row r="90" spans="2:13" ht="5" customHeight="1" x14ac:dyDescent="0.2">
      <c r="B90" s="5"/>
      <c r="C90" s="69"/>
      <c r="D90" s="69"/>
      <c r="E90" s="69"/>
      <c r="F90" s="69"/>
      <c r="G90" s="69"/>
      <c r="H90" s="69"/>
      <c r="I90" s="69"/>
      <c r="J90" s="69"/>
      <c r="K90" s="69"/>
      <c r="L90" s="69"/>
      <c r="M90" s="6"/>
    </row>
    <row r="91" spans="2:13" ht="25.25" customHeight="1" x14ac:dyDescent="0.2">
      <c r="B91" s="5"/>
      <c r="C91" s="162" t="s">
        <v>169</v>
      </c>
      <c r="D91" s="162"/>
      <c r="E91" s="162"/>
      <c r="F91" s="162"/>
      <c r="G91" s="162"/>
      <c r="H91" s="162"/>
      <c r="I91" s="162"/>
      <c r="J91" s="162"/>
      <c r="K91" s="304">
        <f>Ergebnisse!E25</f>
        <v>16.581354168853391</v>
      </c>
      <c r="L91" s="162" t="s">
        <v>167</v>
      </c>
      <c r="M91" s="6"/>
    </row>
    <row r="92" spans="2:13" ht="25.25" customHeight="1" x14ac:dyDescent="0.2">
      <c r="B92" s="5"/>
      <c r="C92" s="119" t="s">
        <v>168</v>
      </c>
      <c r="D92" s="119"/>
      <c r="E92" s="119"/>
      <c r="G92" s="380">
        <f>Ergebnisse!I27*100</f>
        <v>4.6040733343638687</v>
      </c>
      <c r="H92" s="162" t="s">
        <v>238</v>
      </c>
      <c r="I92" s="119"/>
      <c r="J92" s="119"/>
      <c r="K92" s="119"/>
      <c r="L92" s="119"/>
      <c r="M92" s="6"/>
    </row>
    <row r="93" spans="2:13" ht="25.25" customHeight="1" x14ac:dyDescent="0.2">
      <c r="B93" s="5"/>
      <c r="C93" s="119" t="s">
        <v>139</v>
      </c>
      <c r="D93" s="119"/>
      <c r="E93" s="119"/>
      <c r="F93" s="390" t="str">
        <f>IF(Ergebnisse!I25&lt;0,"Verlust von","Gewinn von")</f>
        <v>Gewinn von</v>
      </c>
      <c r="G93" s="381">
        <f>ROUND(Ergebnisse!I25,-2)</f>
        <v>3900</v>
      </c>
      <c r="H93" s="119" t="s">
        <v>140</v>
      </c>
      <c r="I93" s="119"/>
      <c r="J93" s="119"/>
      <c r="K93" s="119"/>
      <c r="L93" s="119"/>
      <c r="M93" s="6"/>
    </row>
    <row r="94" spans="2:13" ht="25.25" customHeight="1" x14ac:dyDescent="0.2">
      <c r="B94" s="5"/>
      <c r="C94" s="119" t="s">
        <v>141</v>
      </c>
      <c r="D94" s="119"/>
      <c r="E94" s="119"/>
      <c r="F94" s="119"/>
      <c r="G94" s="119"/>
      <c r="H94" s="119"/>
      <c r="I94" s="382">
        <f>Ergebnisse!I31</f>
        <v>19.429327143424732</v>
      </c>
      <c r="J94" s="311" t="s">
        <v>144</v>
      </c>
      <c r="K94" s="288" t="str">
        <f>IF(Speicher_Akku&gt;0,"incl. Speicherkosten.","")</f>
        <v/>
      </c>
      <c r="L94" s="119"/>
      <c r="M94" s="6"/>
    </row>
    <row r="95" spans="2:13" ht="18" customHeight="1" x14ac:dyDescent="0.15">
      <c r="B95" s="5"/>
      <c r="M95" s="6"/>
    </row>
    <row r="96" spans="2:13" ht="22.25" customHeight="1" thickBot="1" x14ac:dyDescent="0.25">
      <c r="B96" s="5"/>
      <c r="C96" s="300" t="s">
        <v>142</v>
      </c>
      <c r="D96" s="303"/>
      <c r="E96" s="303"/>
      <c r="F96" s="303"/>
      <c r="G96" s="303"/>
      <c r="H96" s="303"/>
      <c r="I96" s="303"/>
      <c r="J96" s="303"/>
      <c r="K96" s="303"/>
      <c r="L96" s="303"/>
      <c r="M96" s="6"/>
    </row>
    <row r="97" spans="2:13" ht="5" customHeight="1" x14ac:dyDescent="0.2">
      <c r="B97" s="5"/>
      <c r="C97" s="69"/>
      <c r="D97" s="69"/>
      <c r="E97" s="69"/>
      <c r="F97" s="69"/>
      <c r="G97" s="69"/>
      <c r="H97" s="69"/>
      <c r="I97" s="69"/>
      <c r="J97" s="69"/>
      <c r="K97" s="69"/>
      <c r="L97" s="69"/>
      <c r="M97" s="6"/>
    </row>
    <row r="98" spans="2:13" ht="25.25" customHeight="1" x14ac:dyDescent="0.2">
      <c r="B98" s="5"/>
      <c r="C98" s="162" t="s">
        <v>143</v>
      </c>
      <c r="D98" s="162"/>
      <c r="E98" s="162"/>
      <c r="F98" s="306">
        <f>Strompreis_HH</f>
        <v>45</v>
      </c>
      <c r="G98" s="162" t="s">
        <v>144</v>
      </c>
      <c r="H98" s="162" t="s">
        <v>237</v>
      </c>
      <c r="I98" s="69"/>
      <c r="J98" s="69"/>
      <c r="K98" s="69"/>
      <c r="L98" s="69"/>
      <c r="M98" s="6"/>
    </row>
    <row r="99" spans="2:13" ht="5" customHeight="1" x14ac:dyDescent="0.2">
      <c r="B99" s="5"/>
      <c r="C99" s="69"/>
      <c r="D99" s="69"/>
      <c r="E99" s="69"/>
      <c r="F99" s="69"/>
      <c r="G99" s="69"/>
      <c r="H99" s="69"/>
      <c r="I99" s="69"/>
      <c r="J99" s="69"/>
      <c r="K99" s="69"/>
      <c r="L99" s="69"/>
      <c r="M99" s="6"/>
    </row>
    <row r="100" spans="2:13" ht="25.25" customHeight="1" x14ac:dyDescent="0.2">
      <c r="B100" s="5"/>
      <c r="C100" s="162" t="s">
        <v>145</v>
      </c>
      <c r="D100" s="162"/>
      <c r="E100" s="162"/>
      <c r="F100" s="306">
        <f>Strompreis_WP</f>
        <v>0</v>
      </c>
      <c r="G100" s="162" t="s">
        <v>144</v>
      </c>
      <c r="H100" s="162" t="s">
        <v>237</v>
      </c>
      <c r="I100" s="69"/>
      <c r="J100" s="69"/>
      <c r="K100" s="69"/>
      <c r="L100" s="69"/>
      <c r="M100" s="6"/>
    </row>
    <row r="101" spans="2:13" ht="5" customHeight="1" x14ac:dyDescent="0.2">
      <c r="B101" s="5"/>
      <c r="C101" s="69"/>
      <c r="D101" s="69"/>
      <c r="E101" s="69"/>
      <c r="F101" s="69"/>
      <c r="G101" s="69"/>
      <c r="H101" s="69"/>
      <c r="I101" s="69"/>
      <c r="J101" s="69"/>
      <c r="K101" s="69"/>
      <c r="L101" s="69"/>
      <c r="M101" s="6"/>
    </row>
    <row r="102" spans="2:13" ht="25.25" customHeight="1" x14ac:dyDescent="0.2">
      <c r="B102" s="5"/>
      <c r="C102" s="162" t="s">
        <v>146</v>
      </c>
      <c r="D102" s="162"/>
      <c r="E102" s="162"/>
      <c r="F102" s="297">
        <f>Preissteigerung*100</f>
        <v>2</v>
      </c>
      <c r="G102" s="162" t="s">
        <v>248</v>
      </c>
      <c r="H102" s="162"/>
      <c r="I102" s="69"/>
      <c r="J102" s="69"/>
      <c r="K102" s="69"/>
      <c r="L102" s="69"/>
      <c r="M102" s="6"/>
    </row>
    <row r="103" spans="2:13" ht="5" customHeight="1" x14ac:dyDescent="0.2">
      <c r="B103" s="5"/>
      <c r="C103" s="69"/>
      <c r="D103" s="69"/>
      <c r="E103" s="69"/>
      <c r="F103" s="69"/>
      <c r="G103" s="69"/>
      <c r="H103" s="69"/>
      <c r="I103" s="69"/>
      <c r="J103" s="69"/>
      <c r="K103" s="69"/>
      <c r="L103" s="69"/>
      <c r="M103" s="6"/>
    </row>
    <row r="104" spans="2:13" ht="25.25" customHeight="1" x14ac:dyDescent="0.2">
      <c r="B104" s="5"/>
      <c r="C104" s="162" t="s">
        <v>147</v>
      </c>
      <c r="D104" s="162"/>
      <c r="E104" s="162"/>
      <c r="F104" s="297">
        <f>Betriebskosten</f>
        <v>221.4</v>
      </c>
      <c r="G104" s="162" t="s">
        <v>247</v>
      </c>
      <c r="H104" s="162" t="s">
        <v>148</v>
      </c>
      <c r="I104" s="162"/>
      <c r="J104" s="162"/>
      <c r="K104" s="69"/>
      <c r="L104" s="69"/>
      <c r="M104" s="6"/>
    </row>
    <row r="105" spans="2:13" ht="5" customHeight="1" x14ac:dyDescent="0.2">
      <c r="B105" s="5"/>
      <c r="C105" s="69"/>
      <c r="D105" s="69"/>
      <c r="E105" s="69"/>
      <c r="F105" s="69"/>
      <c r="G105" s="69"/>
      <c r="H105" s="69"/>
      <c r="I105" s="69"/>
      <c r="J105" s="69"/>
      <c r="K105" s="69"/>
      <c r="L105" s="69"/>
      <c r="M105" s="6"/>
    </row>
    <row r="106" spans="2:13" ht="25.25" customHeight="1" x14ac:dyDescent="0.2">
      <c r="B106" s="5"/>
      <c r="C106" s="162" t="s">
        <v>149</v>
      </c>
      <c r="D106" s="162"/>
      <c r="E106" s="162"/>
      <c r="F106" s="385" t="str">
        <f>Zählermodell</f>
        <v>---</v>
      </c>
      <c r="G106" s="162"/>
      <c r="H106" s="162"/>
      <c r="I106" s="69"/>
      <c r="J106" s="69"/>
      <c r="K106" s="69"/>
      <c r="L106" s="69"/>
      <c r="M106" s="6"/>
    </row>
    <row r="107" spans="2:13" ht="5" customHeight="1" x14ac:dyDescent="0.2">
      <c r="B107" s="5"/>
      <c r="C107" s="69"/>
      <c r="D107" s="69"/>
      <c r="E107" s="69"/>
      <c r="F107" s="69"/>
      <c r="G107" s="69"/>
      <c r="H107" s="69"/>
      <c r="I107" s="69"/>
      <c r="J107" s="69"/>
      <c r="K107" s="69"/>
      <c r="L107" s="69"/>
      <c r="M107" s="6"/>
    </row>
    <row r="108" spans="2:13" ht="25.25" customHeight="1" x14ac:dyDescent="0.2">
      <c r="B108" s="5"/>
      <c r="C108" s="162"/>
      <c r="D108" s="162"/>
      <c r="E108" s="162"/>
      <c r="F108" s="297" t="str">
        <f>IF(Steuermodell=3,"","Regelbesteuerung")</f>
        <v/>
      </c>
      <c r="H108" s="162"/>
      <c r="I108" s="162"/>
      <c r="J108" s="162"/>
      <c r="K108" s="162"/>
      <c r="L108" s="162"/>
      <c r="M108" s="6"/>
    </row>
    <row r="109" spans="2:13" ht="5" customHeight="1" x14ac:dyDescent="0.2">
      <c r="B109" s="5"/>
      <c r="C109" s="69"/>
      <c r="D109" s="69"/>
      <c r="E109" s="69"/>
      <c r="F109" s="69"/>
      <c r="G109" s="69"/>
      <c r="H109" s="69"/>
      <c r="I109" s="69"/>
      <c r="J109" s="69"/>
      <c r="K109" s="69"/>
      <c r="L109" s="69"/>
      <c r="M109" s="6"/>
    </row>
    <row r="110" spans="2:13" ht="5" customHeight="1" x14ac:dyDescent="0.2">
      <c r="B110" s="5"/>
      <c r="C110" s="69"/>
      <c r="D110" s="69"/>
      <c r="E110" s="69"/>
      <c r="F110" s="69"/>
      <c r="G110" s="69"/>
      <c r="H110" s="69"/>
      <c r="I110" s="69"/>
      <c r="J110" s="69"/>
      <c r="K110" s="69"/>
      <c r="L110" s="69"/>
      <c r="M110" s="6"/>
    </row>
    <row r="111" spans="2:13" ht="25.25" customHeight="1" x14ac:dyDescent="0.2">
      <c r="B111" s="5"/>
      <c r="C111" s="162" t="s">
        <v>193</v>
      </c>
      <c r="D111" s="162"/>
      <c r="E111" s="162"/>
      <c r="F111" s="307" t="str">
        <f>IF(Status_EA=0,"---",'E-Mobilitaet'!C19)</f>
        <v>---</v>
      </c>
      <c r="G111" s="301" t="s">
        <v>160</v>
      </c>
      <c r="H111" s="307" t="str">
        <f>IF(Status_EA=0,"---",'E-Mobilitaet'!C20)</f>
        <v>---</v>
      </c>
      <c r="I111" s="308" t="s">
        <v>151</v>
      </c>
      <c r="J111" s="301" t="s">
        <v>195</v>
      </c>
      <c r="K111" s="338" t="str">
        <f>IF(Status_EA=0,"---",'E-Mobilitaet'!C25*'E-Mobilitaet'!C22)</f>
        <v>---</v>
      </c>
      <c r="L111" s="308" t="s">
        <v>152</v>
      </c>
      <c r="M111" s="6"/>
    </row>
    <row r="112" spans="2:13" ht="5" customHeight="1" x14ac:dyDescent="0.2">
      <c r="B112" s="5"/>
      <c r="C112" s="69"/>
      <c r="D112" s="69"/>
      <c r="E112" s="69"/>
      <c r="F112" s="69"/>
      <c r="G112" s="69"/>
      <c r="H112" s="69"/>
      <c r="I112" s="69"/>
      <c r="J112" s="69"/>
      <c r="K112" s="69"/>
      <c r="L112" s="69"/>
      <c r="M112" s="6"/>
    </row>
    <row r="113" spans="2:13" ht="26" customHeight="1" x14ac:dyDescent="0.2">
      <c r="B113" s="5"/>
      <c r="F113" s="307" t="str">
        <f>IF(Status_EA=0,"---",'E-Mobilitaet'!D8)</f>
        <v>---</v>
      </c>
      <c r="G113" s="162" t="s">
        <v>194</v>
      </c>
      <c r="H113" s="162"/>
      <c r="I113" s="162"/>
      <c r="J113" s="162"/>
      <c r="K113" s="162"/>
      <c r="M113" s="6"/>
    </row>
    <row r="114" spans="2:13" ht="24" customHeight="1" x14ac:dyDescent="0.2">
      <c r="B114" s="5"/>
      <c r="C114" s="162" t="s">
        <v>154</v>
      </c>
      <c r="D114" s="162"/>
      <c r="E114" s="162"/>
      <c r="F114" s="162"/>
      <c r="G114" s="69"/>
      <c r="H114" s="69"/>
      <c r="I114" s="69"/>
      <c r="M114" s="6"/>
    </row>
    <row r="115" spans="2:13" ht="24" customHeight="1" x14ac:dyDescent="0.2">
      <c r="B115" s="5"/>
      <c r="C115" s="162" t="s">
        <v>153</v>
      </c>
      <c r="D115" s="162"/>
      <c r="E115" s="162"/>
      <c r="F115" s="162"/>
      <c r="G115" s="162"/>
      <c r="H115" s="162"/>
      <c r="I115" s="162"/>
      <c r="M115" s="6"/>
    </row>
    <row r="116" spans="2:13" ht="25.25" customHeight="1" thickBot="1" x14ac:dyDescent="0.2">
      <c r="B116" s="19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42"/>
    </row>
  </sheetData>
  <sheetProtection algorithmName="SHA-512" hashValue="FDhbgIin/iVxPNTAEdh2jBAA6yLpsDFbwzPWZPxjy+xJjrW0W45c+Cj2bzg0LXXNVb4c/OBbUyvuOPWPksOAhA==" saltValue="/6UtRaElh1bv5j3UkK5NqQ==" spinCount="100000" sheet="1" scenarios="1"/>
  <mergeCells count="21">
    <mergeCell ref="E9:F9"/>
    <mergeCell ref="H9:I9"/>
    <mergeCell ref="K9:L9"/>
    <mergeCell ref="E63:F63"/>
    <mergeCell ref="H63:I63"/>
    <mergeCell ref="K63:L63"/>
    <mergeCell ref="E12:F12"/>
    <mergeCell ref="E14:F14"/>
    <mergeCell ref="E16:F16"/>
    <mergeCell ref="E18:F18"/>
    <mergeCell ref="E20:F20"/>
    <mergeCell ref="B56:M56"/>
    <mergeCell ref="E59:F59"/>
    <mergeCell ref="E61:F61"/>
    <mergeCell ref="H61:I61"/>
    <mergeCell ref="K61:L61"/>
    <mergeCell ref="E5:F5"/>
    <mergeCell ref="E7:F7"/>
    <mergeCell ref="H7:I7"/>
    <mergeCell ref="K7:L7"/>
    <mergeCell ref="B2:M2"/>
  </mergeCells>
  <conditionalFormatting sqref="G93">
    <cfRule type="cellIs" dxfId="0" priority="1" operator="lessThan">
      <formula>0</formula>
    </cfRule>
  </conditionalFormatting>
  <dataValidations count="1">
    <dataValidation type="list" allowBlank="1" showInputMessage="1" showErrorMessage="1" sqref="D29 D31 D33 D35" xr:uid="{00000000-0002-0000-0300-000000000000}">
      <formula1>Flaechen</formula1>
    </dataValidation>
  </dataValidations>
  <printOptions horizontalCentered="1"/>
  <pageMargins left="0.47244094488188981" right="0.47244094488188981" top="0.70866141732283472" bottom="0.70866141732283472" header="0.31496062992125984" footer="0.31496062992125984"/>
  <pageSetup paperSize="9" scale="68" orientation="portrait" r:id="rId1"/>
  <headerFooter>
    <oddHeader>&amp;R© MetropolSolar</oddHeader>
    <oddFooter>&amp;CSeite &amp;P von [2]</oddFooter>
  </headerFooter>
  <rowBreaks count="1" manualBreakCount="1">
    <brk id="55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26" r:id="rId4" name="Button 14">
              <controlPr defaultSize="0" print="0" autoFill="0" autoPict="0" macro="[0]!Menue">
                <anchor moveWithCells="1" sizeWithCells="1">
                  <from>
                    <xdr:col>14</xdr:col>
                    <xdr:colOff>177800</xdr:colOff>
                    <xdr:row>1</xdr:row>
                    <xdr:rowOff>177800</xdr:rowOff>
                  </from>
                  <to>
                    <xdr:col>16</xdr:col>
                    <xdr:colOff>533400</xdr:colOff>
                    <xdr:row>1</xdr:row>
                    <xdr:rowOff>596900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5" name="Button 15">
              <controlPr defaultSize="0" print="0" autoFill="0" autoPict="0" macro="[0]!Ergebnisse">
                <anchor moveWithCells="1" sizeWithCells="1">
                  <from>
                    <xdr:col>14</xdr:col>
                    <xdr:colOff>177800</xdr:colOff>
                    <xdr:row>1</xdr:row>
                    <xdr:rowOff>711200</xdr:rowOff>
                  </from>
                  <to>
                    <xdr:col>16</xdr:col>
                    <xdr:colOff>558800</xdr:colOff>
                    <xdr:row>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6" name="Button 16">
              <controlPr defaultSize="0" print="0" autoFill="0" autoPict="0" macro="[0]!Eingaben">
                <anchor moveWithCells="1" sizeWithCells="1">
                  <from>
                    <xdr:col>14</xdr:col>
                    <xdr:colOff>177800</xdr:colOff>
                    <xdr:row>2</xdr:row>
                    <xdr:rowOff>254000</xdr:rowOff>
                  </from>
                  <to>
                    <xdr:col>16</xdr:col>
                    <xdr:colOff>558800</xdr:colOff>
                    <xdr:row>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7" name="Button 17">
              <controlPr defaultSize="0" print="0" autoFill="0" autoPict="0" macro="[0]!E_Mob">
                <anchor moveWithCells="1" sizeWithCells="1">
                  <from>
                    <xdr:col>14</xdr:col>
                    <xdr:colOff>177800</xdr:colOff>
                    <xdr:row>6</xdr:row>
                    <xdr:rowOff>76200</xdr:rowOff>
                  </from>
                  <to>
                    <xdr:col>16</xdr:col>
                    <xdr:colOff>558800</xdr:colOff>
                    <xdr:row>8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8" name="Button 21">
              <controlPr defaultSize="0" print="0" autoFill="0" autoPict="0" macro="[0]!drucken">
                <anchor moveWithCells="1" sizeWithCells="1">
                  <from>
                    <xdr:col>14</xdr:col>
                    <xdr:colOff>190500</xdr:colOff>
                    <xdr:row>11</xdr:row>
                    <xdr:rowOff>177800</xdr:rowOff>
                  </from>
                  <to>
                    <xdr:col>16</xdr:col>
                    <xdr:colOff>571500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/>
  <dimension ref="B1:H35"/>
  <sheetViews>
    <sheetView showGridLines="0" topLeftCell="A35" zoomScaleNormal="100" workbookViewId="0">
      <selection activeCell="H17" sqref="H17"/>
    </sheetView>
  </sheetViews>
  <sheetFormatPr baseColWidth="10" defaultColWidth="10.6640625" defaultRowHeight="25.25" customHeight="1" x14ac:dyDescent="0.15"/>
  <cols>
    <col min="1" max="1" width="1.6640625" style="1" customWidth="1"/>
    <col min="2" max="2" width="70.6640625" style="1" customWidth="1"/>
    <col min="3" max="4" width="18.6640625" style="1" customWidth="1"/>
    <col min="5" max="16384" width="10.6640625" style="1"/>
  </cols>
  <sheetData>
    <row r="1" spans="2:8" ht="35" customHeight="1" thickBot="1" x14ac:dyDescent="0.25">
      <c r="B1" s="140" t="s">
        <v>249</v>
      </c>
      <c r="D1" s="194" t="s">
        <v>91</v>
      </c>
    </row>
    <row r="2" spans="2:8" ht="35" customHeight="1" x14ac:dyDescent="0.2">
      <c r="B2" s="185" t="s">
        <v>250</v>
      </c>
      <c r="C2" s="28"/>
      <c r="D2" s="50"/>
      <c r="F2" s="3"/>
      <c r="G2" s="64"/>
      <c r="H2" s="4"/>
    </row>
    <row r="3" spans="2:8" ht="28.25" customHeight="1" thickBot="1" x14ac:dyDescent="0.2">
      <c r="B3" s="85"/>
      <c r="C3" s="87" t="s">
        <v>39</v>
      </c>
      <c r="D3" s="88" t="s">
        <v>251</v>
      </c>
      <c r="F3" s="5"/>
      <c r="H3" s="6"/>
    </row>
    <row r="4" spans="2:8" ht="28.25" customHeight="1" x14ac:dyDescent="0.15">
      <c r="B4" s="81" t="s">
        <v>38</v>
      </c>
      <c r="C4" s="204">
        <v>18000</v>
      </c>
      <c r="D4" s="208">
        <v>25000</v>
      </c>
      <c r="F4" s="5"/>
      <c r="H4" s="6"/>
    </row>
    <row r="5" spans="2:8" ht="28.25" customHeight="1" x14ac:dyDescent="0.15">
      <c r="B5" s="84" t="s">
        <v>261</v>
      </c>
      <c r="C5" s="205">
        <v>6</v>
      </c>
      <c r="D5" s="209">
        <v>18</v>
      </c>
      <c r="F5" s="5"/>
      <c r="H5" s="6"/>
    </row>
    <row r="6" spans="2:8" ht="28.25" customHeight="1" x14ac:dyDescent="0.15">
      <c r="B6" s="84" t="s">
        <v>40</v>
      </c>
      <c r="C6" s="206">
        <v>1.9</v>
      </c>
      <c r="D6" s="89"/>
      <c r="F6" s="5"/>
      <c r="H6" s="6"/>
    </row>
    <row r="7" spans="2:8" ht="28.25" customHeight="1" x14ac:dyDescent="0.15">
      <c r="B7" s="84" t="s">
        <v>252</v>
      </c>
      <c r="C7" s="207">
        <v>0</v>
      </c>
      <c r="D7" s="89"/>
      <c r="F7" s="5"/>
      <c r="H7" s="6"/>
    </row>
    <row r="8" spans="2:8" ht="28.25" customHeight="1" thickBot="1" x14ac:dyDescent="0.2">
      <c r="B8" s="84" t="s">
        <v>253</v>
      </c>
      <c r="C8" s="83"/>
      <c r="D8" s="152">
        <f>C20*C22*C25</f>
        <v>0.48599999999999999</v>
      </c>
      <c r="F8" s="19"/>
      <c r="G8" s="20"/>
      <c r="H8" s="42"/>
    </row>
    <row r="9" spans="2:8" ht="28.25" customHeight="1" x14ac:dyDescent="0.15">
      <c r="B9" s="84" t="s">
        <v>41</v>
      </c>
      <c r="C9" s="83"/>
      <c r="D9" s="210">
        <v>0</v>
      </c>
    </row>
    <row r="10" spans="2:8" ht="28.25" customHeight="1" x14ac:dyDescent="0.15">
      <c r="B10" s="84" t="s">
        <v>98</v>
      </c>
      <c r="C10" s="83"/>
      <c r="D10" s="210">
        <v>700</v>
      </c>
    </row>
    <row r="11" spans="2:8" ht="28.25" customHeight="1" x14ac:dyDescent="0.15">
      <c r="B11" s="84" t="s">
        <v>260</v>
      </c>
      <c r="C11" s="211">
        <v>15000</v>
      </c>
      <c r="D11" s="89"/>
    </row>
    <row r="12" spans="2:8" ht="28.25" customHeight="1" x14ac:dyDescent="0.15">
      <c r="B12" s="84" t="s">
        <v>49</v>
      </c>
      <c r="C12" s="170">
        <f>Kost_Benz</f>
        <v>11.400000000000002</v>
      </c>
      <c r="D12" s="169">
        <f>D5*D8*D32/100+D5*C19*D26/100+D5*(1-C19-D8)*D28/100*(1+MwSt)</f>
        <v>5.4998819999999995</v>
      </c>
    </row>
    <row r="13" spans="2:8" ht="28.25" customHeight="1" thickBot="1" x14ac:dyDescent="0.2">
      <c r="B13" s="84" t="s">
        <v>50</v>
      </c>
      <c r="C13" s="171">
        <f>C11*C12/100</f>
        <v>1710.0000000000002</v>
      </c>
      <c r="D13" s="167">
        <f>D12*C11/100</f>
        <v>824.98230000000001</v>
      </c>
    </row>
    <row r="14" spans="2:8" ht="28.25" customHeight="1" thickBot="1" x14ac:dyDescent="0.2">
      <c r="B14" s="84" t="s">
        <v>254</v>
      </c>
      <c r="C14" s="337"/>
      <c r="D14" s="336">
        <f>C13-D13+D10-12*D9-(D4-C4)/10</f>
        <v>885.01770000000033</v>
      </c>
      <c r="E14" s="331">
        <f>C13-D13+D10-12*D9</f>
        <v>1585.0177000000003</v>
      </c>
    </row>
    <row r="15" spans="2:8" ht="28.25" customHeight="1" thickBot="1" x14ac:dyDescent="0.2">
      <c r="B15" s="90" t="s">
        <v>255</v>
      </c>
      <c r="C15" s="91"/>
      <c r="D15" s="168">
        <f>D25*((D28/100)*(1+MwSt)-D32/100)</f>
        <v>595.08270000000005</v>
      </c>
    </row>
    <row r="16" spans="2:8" ht="28.25" customHeight="1" thickBot="1" x14ac:dyDescent="0.25">
      <c r="B16" s="329" t="s">
        <v>256</v>
      </c>
      <c r="C16" s="330"/>
      <c r="D16" s="172">
        <f>IF(Status_EA&gt;1,Vorteil_BKosten_EA,Vorteil_EA)</f>
        <v>595.08270000000005</v>
      </c>
      <c r="E16" s="331">
        <f>IF(Status_EA&gt;1,Vorteil_BKosten_EA_Dek2,Vorteil_EA)</f>
        <v>595.08270000000005</v>
      </c>
    </row>
    <row r="17" spans="2:4" ht="35" customHeight="1" thickBot="1" x14ac:dyDescent="0.2">
      <c r="B17" s="106"/>
      <c r="C17" s="108" t="s">
        <v>2</v>
      </c>
      <c r="D17" s="107" t="s">
        <v>7</v>
      </c>
    </row>
    <row r="18" spans="2:4" ht="28.25" customHeight="1" x14ac:dyDescent="0.15">
      <c r="B18" s="101" t="s">
        <v>257</v>
      </c>
      <c r="C18" s="102"/>
      <c r="D18" s="186">
        <f>D5*C11/100</f>
        <v>2700</v>
      </c>
    </row>
    <row r="19" spans="2:4" ht="28.25" customHeight="1" x14ac:dyDescent="0.15">
      <c r="B19" s="84" t="s">
        <v>258</v>
      </c>
      <c r="C19" s="207">
        <v>0.1</v>
      </c>
      <c r="D19" s="187">
        <f>D18*C19</f>
        <v>270</v>
      </c>
    </row>
    <row r="20" spans="2:4" ht="28.25" customHeight="1" x14ac:dyDescent="0.15">
      <c r="B20" s="104" t="s">
        <v>259</v>
      </c>
      <c r="C20" s="153">
        <f>1-C19</f>
        <v>0.9</v>
      </c>
      <c r="D20" s="187">
        <f>D18*C20</f>
        <v>2430</v>
      </c>
    </row>
    <row r="21" spans="2:4" ht="28.25" customHeight="1" x14ac:dyDescent="0.15">
      <c r="B21" s="105" t="s">
        <v>47</v>
      </c>
      <c r="C21" s="207">
        <v>0.1</v>
      </c>
      <c r="D21" s="187">
        <f>D20*C21</f>
        <v>243</v>
      </c>
    </row>
    <row r="22" spans="2:4" ht="28.25" customHeight="1" thickBot="1" x14ac:dyDescent="0.2">
      <c r="B22" s="109" t="s">
        <v>48</v>
      </c>
      <c r="C22" s="154">
        <f>1-C21</f>
        <v>0.9</v>
      </c>
      <c r="D22" s="188">
        <f>D20*C22</f>
        <v>2187</v>
      </c>
    </row>
    <row r="23" spans="2:4" ht="28.25" customHeight="1" x14ac:dyDescent="0.15">
      <c r="B23" s="110" t="s">
        <v>262</v>
      </c>
      <c r="C23" s="82"/>
      <c r="D23" s="111"/>
    </row>
    <row r="24" spans="2:4" ht="28.25" customHeight="1" x14ac:dyDescent="0.15">
      <c r="B24" s="105" t="s">
        <v>266</v>
      </c>
      <c r="C24" s="207">
        <v>0.4</v>
      </c>
      <c r="D24" s="229">
        <f>C24*D22</f>
        <v>874.80000000000007</v>
      </c>
    </row>
    <row r="25" spans="2:4" ht="28.25" customHeight="1" thickBot="1" x14ac:dyDescent="0.2">
      <c r="B25" s="112" t="s">
        <v>267</v>
      </c>
      <c r="C25" s="154">
        <f>1-C24</f>
        <v>0.6</v>
      </c>
      <c r="D25" s="230">
        <f>D22*C25</f>
        <v>1312.2</v>
      </c>
    </row>
    <row r="26" spans="2:4" ht="28.25" customHeight="1" x14ac:dyDescent="0.15">
      <c r="B26" s="79" t="s">
        <v>51</v>
      </c>
      <c r="C26" s="25" t="s">
        <v>9</v>
      </c>
      <c r="D26" s="212">
        <v>44</v>
      </c>
    </row>
    <row r="27" spans="2:4" ht="28.25" customHeight="1" x14ac:dyDescent="0.15">
      <c r="B27" s="113"/>
      <c r="C27" s="25" t="s">
        <v>32</v>
      </c>
      <c r="D27" s="173">
        <f>D26*D19/100</f>
        <v>118.8</v>
      </c>
    </row>
    <row r="28" spans="2:4" ht="28.25" customHeight="1" x14ac:dyDescent="0.15">
      <c r="B28" s="79" t="s">
        <v>52</v>
      </c>
      <c r="C28" s="25" t="s">
        <v>9</v>
      </c>
      <c r="D28" s="155">
        <f>Strompreis_HH</f>
        <v>45</v>
      </c>
    </row>
    <row r="29" spans="2:4" ht="28.25" customHeight="1" x14ac:dyDescent="0.15">
      <c r="B29" s="113"/>
      <c r="C29" s="25" t="s">
        <v>32</v>
      </c>
      <c r="D29" s="173">
        <f>D28*(D21+D24)/100*(1+MwSt)</f>
        <v>598.58190000000002</v>
      </c>
    </row>
    <row r="30" spans="2:4" ht="28.25" customHeight="1" x14ac:dyDescent="0.15">
      <c r="B30" s="79" t="s">
        <v>263</v>
      </c>
      <c r="C30" s="102"/>
      <c r="D30" s="103"/>
    </row>
    <row r="31" spans="2:4" ht="28.25" customHeight="1" x14ac:dyDescent="0.15">
      <c r="B31" s="105" t="s">
        <v>264</v>
      </c>
      <c r="C31" s="25" t="s">
        <v>32</v>
      </c>
      <c r="D31" s="173">
        <f>Einspeis_Verg*D25/100</f>
        <v>107.60039999999999</v>
      </c>
    </row>
    <row r="32" spans="2:4" ht="28.25" customHeight="1" x14ac:dyDescent="0.15">
      <c r="B32" s="105" t="s">
        <v>268</v>
      </c>
      <c r="C32" s="25" t="s">
        <v>9</v>
      </c>
      <c r="D32" s="155">
        <f>Einspeis_Verg+IF(PV_Leistung&lt;30,0,Strompreis_HH*MwSt)</f>
        <v>8.1999999999999993</v>
      </c>
    </row>
    <row r="33" spans="2:5" ht="28.25" customHeight="1" thickBot="1" x14ac:dyDescent="0.2">
      <c r="B33" s="19"/>
      <c r="C33" s="80" t="s">
        <v>32</v>
      </c>
      <c r="D33" s="174">
        <f>D32*D25/100</f>
        <v>107.60039999999999</v>
      </c>
    </row>
    <row r="34" spans="2:5" ht="25.25" customHeight="1" thickBot="1" x14ac:dyDescent="0.25">
      <c r="B34" s="183"/>
      <c r="C34" s="184" t="s">
        <v>265</v>
      </c>
      <c r="D34" s="175">
        <f>IF(Status_EA&gt;0,'E-Mobilitaet'!D16,0)</f>
        <v>0</v>
      </c>
      <c r="E34" s="332">
        <f>IF(Status_EA&gt;0,'E-Mobilitaet'!E16,0)</f>
        <v>0</v>
      </c>
    </row>
    <row r="35" spans="2:5" ht="32" customHeight="1" x14ac:dyDescent="0.15">
      <c r="D35" s="1" t="s">
        <v>161</v>
      </c>
      <c r="E35" s="1" t="s">
        <v>162</v>
      </c>
    </row>
  </sheetData>
  <sheetProtection algorithmName="SHA-512" hashValue="XV7pywkNgC2kGIGhUkLAkmj+BeA51scUgV1mb3vpebof5GDl0QnQaW/Vs9QW17awqDi2ZjWyHSI2PKvB00PRNw==" saltValue="CFUlrRX7x40TVA/xMW+UqQ==" spinCount="100000" sheet="1" objects="1" scenarios="1"/>
  <printOptions horizontalCentered="1"/>
  <pageMargins left="0.70866141732283505" right="0.70866141732283505" top="0.78740157480314998" bottom="0.78740157480314998" header="0.31496062992126" footer="0.31496062992126"/>
  <pageSetup paperSize="9" scale="75" orientation="portrait" r:id="rId1"/>
  <headerFooter>
    <oddHeader>&amp;L&amp;"Calibri,Standard"&amp;K000000BürgerSolarBeratung&amp;R&amp;"Calibri,Standard"&amp;K000000MetropolSolar</oddHeader>
    <oddFooter>&amp;CAlle Angaben, Berechnungen und Ergebnisse ohne Gewähr</oddFooter>
  </headerFooter>
  <colBreaks count="1" manualBreakCount="1">
    <brk id="4" max="1048575" man="1"/>
  </colBreaks>
  <ignoredErrors>
    <ignoredError sqref="D20:D21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Menue">
                <anchor moveWithCells="1" sizeWithCells="1">
                  <from>
                    <xdr:col>5</xdr:col>
                    <xdr:colOff>177800</xdr:colOff>
                    <xdr:row>1</xdr:row>
                    <xdr:rowOff>139700</xdr:rowOff>
                  </from>
                  <to>
                    <xdr:col>7</xdr:col>
                    <xdr:colOff>558800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Ergebnisse">
                <anchor moveWithCells="1" sizeWithCells="1">
                  <from>
                    <xdr:col>5</xdr:col>
                    <xdr:colOff>177800</xdr:colOff>
                    <xdr:row>2</xdr:row>
                    <xdr:rowOff>292100</xdr:rowOff>
                  </from>
                  <to>
                    <xdr:col>7</xdr:col>
                    <xdr:colOff>558800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Eingaben">
                <anchor moveWithCells="1" sizeWithCells="1">
                  <from>
                    <xdr:col>5</xdr:col>
                    <xdr:colOff>177800</xdr:colOff>
                    <xdr:row>4</xdr:row>
                    <xdr:rowOff>139700</xdr:rowOff>
                  </from>
                  <to>
                    <xdr:col>7</xdr:col>
                    <xdr:colOff>558800</xdr:colOff>
                    <xdr:row>5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7" name="Button 7">
              <controlPr defaultSize="0" print="0" autoFill="0" autoPict="0" macro="[0]!ausgabe">
                <anchor moveWithCells="1" sizeWithCells="1">
                  <from>
                    <xdr:col>5</xdr:col>
                    <xdr:colOff>177800</xdr:colOff>
                    <xdr:row>6</xdr:row>
                    <xdr:rowOff>25400</xdr:rowOff>
                  </from>
                  <to>
                    <xdr:col>7</xdr:col>
                    <xdr:colOff>558800</xdr:colOff>
                    <xdr:row>7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"/>
  <dimension ref="B1:L134"/>
  <sheetViews>
    <sheetView showGridLines="0" zoomScaleNormal="100" workbookViewId="0">
      <pane ySplit="3" topLeftCell="A41" activePane="bottomLeft" state="frozen"/>
      <selection activeCell="E22" sqref="E22"/>
      <selection pane="bottomLeft" activeCell="K100" sqref="K100"/>
    </sheetView>
  </sheetViews>
  <sheetFormatPr baseColWidth="10" defaultColWidth="10.6640625" defaultRowHeight="25.25" customHeight="1" x14ac:dyDescent="0.15"/>
  <cols>
    <col min="1" max="1" width="1.6640625" style="1" customWidth="1"/>
    <col min="2" max="2" width="5.6640625" style="1" customWidth="1"/>
    <col min="3" max="3" width="12.6640625" style="1" hidden="1" customWidth="1"/>
    <col min="4" max="5" width="8.6640625" style="1" customWidth="1"/>
    <col min="6" max="8" width="15.6640625" style="1" customWidth="1"/>
    <col min="9" max="16384" width="10.6640625" style="1"/>
  </cols>
  <sheetData>
    <row r="1" spans="2:12" ht="40.25" customHeight="1" thickBot="1" x14ac:dyDescent="0.25">
      <c r="B1" s="140" t="s">
        <v>69</v>
      </c>
      <c r="F1" s="240" t="s">
        <v>219</v>
      </c>
      <c r="H1" s="150" t="s">
        <v>91</v>
      </c>
    </row>
    <row r="2" spans="2:12" ht="30" customHeight="1" x14ac:dyDescent="0.2">
      <c r="B2" s="32"/>
      <c r="C2" s="28"/>
      <c r="D2" s="408" t="s">
        <v>17</v>
      </c>
      <c r="E2" s="411"/>
      <c r="F2" s="408" t="s">
        <v>269</v>
      </c>
      <c r="G2" s="409"/>
      <c r="H2" s="410"/>
      <c r="J2" s="3"/>
      <c r="K2" s="64"/>
      <c r="L2" s="4"/>
    </row>
    <row r="3" spans="2:12" ht="35" customHeight="1" thickBot="1" x14ac:dyDescent="0.2">
      <c r="B3" s="29" t="s">
        <v>11</v>
      </c>
      <c r="C3" s="30"/>
      <c r="D3" s="31" t="s">
        <v>12</v>
      </c>
      <c r="E3" s="31" t="s">
        <v>13</v>
      </c>
      <c r="F3" s="31" t="s">
        <v>14</v>
      </c>
      <c r="G3" s="31" t="s">
        <v>15</v>
      </c>
      <c r="H3" s="141" t="s">
        <v>16</v>
      </c>
      <c r="J3" s="19"/>
      <c r="K3" s="20"/>
      <c r="L3" s="42"/>
    </row>
    <row r="4" spans="2:12" ht="28.25" customHeight="1" thickTop="1" x14ac:dyDescent="0.2">
      <c r="B4" s="26">
        <v>1</v>
      </c>
      <c r="C4" s="22">
        <v>44197</v>
      </c>
      <c r="D4" s="24">
        <f>YEAR(C4)</f>
        <v>2021</v>
      </c>
      <c r="E4" s="24" t="str">
        <f>TEXT(C4,"MMM")</f>
        <v>Jan</v>
      </c>
      <c r="F4" s="219">
        <v>8.16</v>
      </c>
      <c r="G4" s="219">
        <v>7.93</v>
      </c>
      <c r="H4" s="220">
        <v>6.23</v>
      </c>
      <c r="J4" s="259"/>
      <c r="K4" s="259"/>
      <c r="L4" s="259"/>
    </row>
    <row r="5" spans="2:12" ht="28.25" customHeight="1" x14ac:dyDescent="0.15">
      <c r="B5" s="27">
        <f>B4+1</f>
        <v>2</v>
      </c>
      <c r="C5" s="23">
        <f>DATE(YEAR(C4),MONTH(C4)+1,DAY(C4))</f>
        <v>44228</v>
      </c>
      <c r="D5" s="25">
        <f>YEAR(C5)</f>
        <v>2021</v>
      </c>
      <c r="E5" s="25" t="str">
        <f>TEXT(C5,"MMM")</f>
        <v>Feb</v>
      </c>
      <c r="F5" s="221">
        <v>8.0399999999999991</v>
      </c>
      <c r="G5" s="221">
        <v>7.81</v>
      </c>
      <c r="H5" s="222">
        <v>6.13</v>
      </c>
    </row>
    <row r="6" spans="2:12" ht="28.25" customHeight="1" x14ac:dyDescent="0.15">
      <c r="B6" s="27">
        <f t="shared" ref="B6:B15" si="0">B5+1</f>
        <v>3</v>
      </c>
      <c r="C6" s="23">
        <f t="shared" ref="C6:C15" si="1">DATE(YEAR(C5),MONTH(C5)+1,DAY(C5))</f>
        <v>44256</v>
      </c>
      <c r="D6" s="25">
        <f t="shared" ref="D6:D63" si="2">YEAR(C6)</f>
        <v>2021</v>
      </c>
      <c r="E6" s="25" t="str">
        <f t="shared" ref="E6:E15" si="3">TEXT(C6,"MMM")</f>
        <v>Mrz</v>
      </c>
      <c r="F6" s="221">
        <v>7.92</v>
      </c>
      <c r="G6" s="221">
        <v>7.7</v>
      </c>
      <c r="H6" s="222">
        <v>6.04</v>
      </c>
    </row>
    <row r="7" spans="2:12" ht="28.25" customHeight="1" x14ac:dyDescent="0.15">
      <c r="B7" s="27">
        <f t="shared" si="0"/>
        <v>4</v>
      </c>
      <c r="C7" s="23">
        <f t="shared" si="1"/>
        <v>44287</v>
      </c>
      <c r="D7" s="25">
        <f t="shared" si="2"/>
        <v>2021</v>
      </c>
      <c r="E7" s="25" t="str">
        <f t="shared" si="3"/>
        <v>Apr</v>
      </c>
      <c r="F7" s="221">
        <v>7.81</v>
      </c>
      <c r="G7" s="221">
        <v>7.59</v>
      </c>
      <c r="H7" s="222">
        <v>5.95</v>
      </c>
    </row>
    <row r="8" spans="2:12" ht="28.25" customHeight="1" x14ac:dyDescent="0.15">
      <c r="B8" s="27">
        <f t="shared" si="0"/>
        <v>5</v>
      </c>
      <c r="C8" s="23">
        <f t="shared" si="1"/>
        <v>44317</v>
      </c>
      <c r="D8" s="25">
        <f t="shared" si="2"/>
        <v>2021</v>
      </c>
      <c r="E8" s="25" t="str">
        <f t="shared" si="3"/>
        <v>Mai</v>
      </c>
      <c r="F8" s="221">
        <v>7.69</v>
      </c>
      <c r="G8" s="221">
        <v>7.47</v>
      </c>
      <c r="H8" s="222">
        <v>5.86</v>
      </c>
    </row>
    <row r="9" spans="2:12" ht="28.25" customHeight="1" x14ac:dyDescent="0.15">
      <c r="B9" s="27">
        <f t="shared" si="0"/>
        <v>6</v>
      </c>
      <c r="C9" s="23">
        <f t="shared" si="1"/>
        <v>44348</v>
      </c>
      <c r="D9" s="25">
        <f t="shared" si="2"/>
        <v>2021</v>
      </c>
      <c r="E9" s="25" t="str">
        <f t="shared" si="3"/>
        <v>Jun</v>
      </c>
      <c r="F9" s="221">
        <v>7.58</v>
      </c>
      <c r="G9" s="221">
        <v>7.36</v>
      </c>
      <c r="H9" s="222">
        <v>5.77</v>
      </c>
    </row>
    <row r="10" spans="2:12" ht="28.25" customHeight="1" x14ac:dyDescent="0.15">
      <c r="B10" s="27">
        <f t="shared" si="0"/>
        <v>7</v>
      </c>
      <c r="C10" s="23">
        <f t="shared" si="1"/>
        <v>44378</v>
      </c>
      <c r="D10" s="25">
        <f t="shared" si="2"/>
        <v>2021</v>
      </c>
      <c r="E10" s="25" t="str">
        <f t="shared" si="3"/>
        <v>Jul</v>
      </c>
      <c r="F10" s="221">
        <v>7.47</v>
      </c>
      <c r="G10" s="221">
        <v>7.25</v>
      </c>
      <c r="H10" s="222">
        <v>5.68</v>
      </c>
      <c r="J10" s="33"/>
      <c r="K10" s="34"/>
    </row>
    <row r="11" spans="2:12" ht="28.25" customHeight="1" x14ac:dyDescent="0.15">
      <c r="B11" s="27">
        <f t="shared" si="0"/>
        <v>8</v>
      </c>
      <c r="C11" s="23">
        <f t="shared" si="1"/>
        <v>44409</v>
      </c>
      <c r="D11" s="25">
        <f t="shared" si="2"/>
        <v>2021</v>
      </c>
      <c r="E11" s="25" t="str">
        <f t="shared" si="3"/>
        <v>Aug</v>
      </c>
      <c r="F11" s="221">
        <v>7.36</v>
      </c>
      <c r="G11" s="221">
        <v>7.15</v>
      </c>
      <c r="H11" s="222">
        <v>5.6</v>
      </c>
      <c r="J11" s="33"/>
      <c r="K11" s="34"/>
    </row>
    <row r="12" spans="2:12" ht="28.25" customHeight="1" x14ac:dyDescent="0.15">
      <c r="B12" s="27">
        <f t="shared" si="0"/>
        <v>9</v>
      </c>
      <c r="C12" s="23">
        <f t="shared" si="1"/>
        <v>44440</v>
      </c>
      <c r="D12" s="25">
        <f t="shared" si="2"/>
        <v>2021</v>
      </c>
      <c r="E12" s="25" t="str">
        <f t="shared" si="3"/>
        <v>Sep</v>
      </c>
      <c r="F12" s="221">
        <v>7.25</v>
      </c>
      <c r="G12" s="221">
        <v>7.04</v>
      </c>
      <c r="H12" s="222">
        <v>5.51</v>
      </c>
      <c r="J12" s="33"/>
      <c r="K12" s="34"/>
    </row>
    <row r="13" spans="2:12" ht="28.25" customHeight="1" x14ac:dyDescent="0.15">
      <c r="B13" s="27">
        <f t="shared" si="0"/>
        <v>10</v>
      </c>
      <c r="C13" s="23">
        <f t="shared" si="1"/>
        <v>44470</v>
      </c>
      <c r="D13" s="25">
        <f t="shared" si="2"/>
        <v>2021</v>
      </c>
      <c r="E13" s="25" t="str">
        <f t="shared" si="3"/>
        <v>Okt</v>
      </c>
      <c r="F13" s="221">
        <v>7.14</v>
      </c>
      <c r="G13" s="221">
        <v>6.94</v>
      </c>
      <c r="H13" s="222">
        <v>5.43</v>
      </c>
      <c r="J13" s="33"/>
      <c r="K13" s="34"/>
    </row>
    <row r="14" spans="2:12" ht="28.25" customHeight="1" x14ac:dyDescent="0.15">
      <c r="B14" s="27">
        <f t="shared" si="0"/>
        <v>11</v>
      </c>
      <c r="C14" s="23">
        <f t="shared" si="1"/>
        <v>44501</v>
      </c>
      <c r="D14" s="25">
        <f t="shared" si="2"/>
        <v>2021</v>
      </c>
      <c r="E14" s="25" t="str">
        <f t="shared" si="3"/>
        <v>Nov</v>
      </c>
      <c r="F14" s="221">
        <v>7.03</v>
      </c>
      <c r="G14" s="221">
        <v>6.83</v>
      </c>
      <c r="H14" s="222">
        <v>5.35</v>
      </c>
    </row>
    <row r="15" spans="2:12" ht="28.25" customHeight="1" x14ac:dyDescent="0.15">
      <c r="B15" s="27">
        <f t="shared" si="0"/>
        <v>12</v>
      </c>
      <c r="C15" s="23">
        <f t="shared" si="1"/>
        <v>44531</v>
      </c>
      <c r="D15" s="25">
        <f t="shared" si="2"/>
        <v>2021</v>
      </c>
      <c r="E15" s="25" t="str">
        <f t="shared" si="3"/>
        <v>Dez</v>
      </c>
      <c r="F15" s="221">
        <v>6.93</v>
      </c>
      <c r="G15" s="221">
        <v>6.73</v>
      </c>
      <c r="H15" s="222">
        <v>5.27</v>
      </c>
      <c r="K15" s="34"/>
    </row>
    <row r="16" spans="2:12" ht="28.25" customHeight="1" x14ac:dyDescent="0.15">
      <c r="B16" s="27">
        <f t="shared" ref="B16:B51" si="4">B15+1</f>
        <v>13</v>
      </c>
      <c r="C16" s="23">
        <f t="shared" ref="C16:C51" si="5">DATE(YEAR(C15),MONTH(C15)+1,DAY(C15))</f>
        <v>44562</v>
      </c>
      <c r="D16" s="25">
        <f t="shared" si="2"/>
        <v>2022</v>
      </c>
      <c r="E16" s="25" t="str">
        <f t="shared" ref="E16:E51" si="6">TEXT(C16,"MMM")</f>
        <v>Jan</v>
      </c>
      <c r="F16" s="221">
        <v>6.83</v>
      </c>
      <c r="G16" s="221">
        <v>6.63</v>
      </c>
      <c r="H16" s="222">
        <v>5.19</v>
      </c>
    </row>
    <row r="17" spans="2:8" ht="28.25" customHeight="1" x14ac:dyDescent="0.15">
      <c r="B17" s="27">
        <f t="shared" si="4"/>
        <v>14</v>
      </c>
      <c r="C17" s="23">
        <f t="shared" si="5"/>
        <v>44593</v>
      </c>
      <c r="D17" s="25">
        <f t="shared" si="2"/>
        <v>2022</v>
      </c>
      <c r="E17" s="25" t="str">
        <f t="shared" si="6"/>
        <v>Feb</v>
      </c>
      <c r="F17" s="221">
        <v>6.73</v>
      </c>
      <c r="G17" s="221">
        <v>6.53</v>
      </c>
      <c r="H17" s="222">
        <v>5.1100000000000003</v>
      </c>
    </row>
    <row r="18" spans="2:8" ht="28.25" customHeight="1" x14ac:dyDescent="0.15">
      <c r="B18" s="27">
        <f t="shared" si="4"/>
        <v>15</v>
      </c>
      <c r="C18" s="23">
        <f t="shared" si="5"/>
        <v>44621</v>
      </c>
      <c r="D18" s="25">
        <f t="shared" si="2"/>
        <v>2022</v>
      </c>
      <c r="E18" s="25" t="str">
        <f t="shared" si="6"/>
        <v>Mrz</v>
      </c>
      <c r="F18" s="221">
        <v>6.63</v>
      </c>
      <c r="G18" s="221">
        <v>6.44</v>
      </c>
      <c r="H18" s="222">
        <v>5.03</v>
      </c>
    </row>
    <row r="19" spans="2:8" ht="28.25" customHeight="1" x14ac:dyDescent="0.15">
      <c r="B19" s="27">
        <f t="shared" si="4"/>
        <v>16</v>
      </c>
      <c r="C19" s="23">
        <f t="shared" si="5"/>
        <v>44652</v>
      </c>
      <c r="D19" s="25">
        <f t="shared" si="2"/>
        <v>2022</v>
      </c>
      <c r="E19" s="25" t="str">
        <f t="shared" si="6"/>
        <v>Apr</v>
      </c>
      <c r="F19" s="221">
        <v>6.53</v>
      </c>
      <c r="G19" s="221">
        <v>6.34</v>
      </c>
      <c r="H19" s="222">
        <v>4.96</v>
      </c>
    </row>
    <row r="20" spans="2:8" ht="28.25" customHeight="1" x14ac:dyDescent="0.15">
      <c r="B20" s="27">
        <f t="shared" si="4"/>
        <v>17</v>
      </c>
      <c r="C20" s="23">
        <f t="shared" si="5"/>
        <v>44682</v>
      </c>
      <c r="D20" s="25">
        <f t="shared" si="2"/>
        <v>2022</v>
      </c>
      <c r="E20" s="25" t="str">
        <f t="shared" si="6"/>
        <v>Mai</v>
      </c>
      <c r="F20" s="221">
        <v>6.43</v>
      </c>
      <c r="G20" s="221">
        <v>6.25</v>
      </c>
      <c r="H20" s="222">
        <v>4.88</v>
      </c>
    </row>
    <row r="21" spans="2:8" ht="28.25" customHeight="1" x14ac:dyDescent="0.15">
      <c r="B21" s="27">
        <f t="shared" si="4"/>
        <v>18</v>
      </c>
      <c r="C21" s="23">
        <f t="shared" si="5"/>
        <v>44713</v>
      </c>
      <c r="D21" s="25">
        <f t="shared" si="2"/>
        <v>2022</v>
      </c>
      <c r="E21" s="25" t="str">
        <f t="shared" si="6"/>
        <v>Jun</v>
      </c>
      <c r="F21" s="221">
        <v>6.34</v>
      </c>
      <c r="G21" s="221">
        <v>6.15</v>
      </c>
      <c r="H21" s="222">
        <v>4.8099999999999996</v>
      </c>
    </row>
    <row r="22" spans="2:8" ht="28.25" customHeight="1" x14ac:dyDescent="0.15">
      <c r="B22" s="27">
        <f t="shared" si="4"/>
        <v>19</v>
      </c>
      <c r="C22" s="23">
        <f t="shared" si="5"/>
        <v>44743</v>
      </c>
      <c r="D22" s="25">
        <f t="shared" si="2"/>
        <v>2022</v>
      </c>
      <c r="E22" s="25" t="str">
        <f t="shared" si="6"/>
        <v>Jul</v>
      </c>
      <c r="F22" s="221">
        <v>6.24</v>
      </c>
      <c r="G22" s="221">
        <v>6.06</v>
      </c>
      <c r="H22" s="222">
        <v>4.74</v>
      </c>
    </row>
    <row r="23" spans="2:8" ht="28.25" customHeight="1" x14ac:dyDescent="0.15">
      <c r="B23" s="27">
        <f t="shared" si="4"/>
        <v>20</v>
      </c>
      <c r="C23" s="23">
        <f t="shared" si="5"/>
        <v>44774</v>
      </c>
      <c r="D23" s="25">
        <f t="shared" si="2"/>
        <v>2022</v>
      </c>
      <c r="E23" s="25" t="str">
        <f t="shared" si="6"/>
        <v>Aug</v>
      </c>
      <c r="F23" s="221">
        <v>8.1999999999999993</v>
      </c>
      <c r="G23" s="221">
        <v>7.1</v>
      </c>
      <c r="H23" s="222">
        <v>5.8</v>
      </c>
    </row>
    <row r="24" spans="2:8" ht="28.25" customHeight="1" x14ac:dyDescent="0.15">
      <c r="B24" s="27">
        <f t="shared" si="4"/>
        <v>21</v>
      </c>
      <c r="C24" s="23">
        <f t="shared" si="5"/>
        <v>44805</v>
      </c>
      <c r="D24" s="25">
        <f t="shared" si="2"/>
        <v>2022</v>
      </c>
      <c r="E24" s="25" t="str">
        <f t="shared" si="6"/>
        <v>Sep</v>
      </c>
      <c r="F24" s="221">
        <v>8.1999999999999993</v>
      </c>
      <c r="G24" s="221">
        <v>7.1</v>
      </c>
      <c r="H24" s="222">
        <v>5.8</v>
      </c>
    </row>
    <row r="25" spans="2:8" ht="28.25" customHeight="1" x14ac:dyDescent="0.15">
      <c r="B25" s="27">
        <f t="shared" si="4"/>
        <v>22</v>
      </c>
      <c r="C25" s="23">
        <f t="shared" si="5"/>
        <v>44835</v>
      </c>
      <c r="D25" s="25">
        <f t="shared" si="2"/>
        <v>2022</v>
      </c>
      <c r="E25" s="25" t="str">
        <f t="shared" si="6"/>
        <v>Okt</v>
      </c>
      <c r="F25" s="221">
        <v>8.1999999999999993</v>
      </c>
      <c r="G25" s="221">
        <v>7.1</v>
      </c>
      <c r="H25" s="222">
        <v>5.8</v>
      </c>
    </row>
    <row r="26" spans="2:8" ht="28.25" customHeight="1" x14ac:dyDescent="0.15">
      <c r="B26" s="27">
        <f t="shared" si="4"/>
        <v>23</v>
      </c>
      <c r="C26" s="23">
        <f t="shared" si="5"/>
        <v>44866</v>
      </c>
      <c r="D26" s="25">
        <f t="shared" si="2"/>
        <v>2022</v>
      </c>
      <c r="E26" s="25" t="str">
        <f t="shared" si="6"/>
        <v>Nov</v>
      </c>
      <c r="F26" s="221">
        <v>8.1999999999999993</v>
      </c>
      <c r="G26" s="221">
        <v>7.1</v>
      </c>
      <c r="H26" s="222">
        <v>5.8</v>
      </c>
    </row>
    <row r="27" spans="2:8" ht="28.25" customHeight="1" x14ac:dyDescent="0.15">
      <c r="B27" s="27">
        <f t="shared" si="4"/>
        <v>24</v>
      </c>
      <c r="C27" s="23">
        <f t="shared" si="5"/>
        <v>44896</v>
      </c>
      <c r="D27" s="25">
        <f t="shared" si="2"/>
        <v>2022</v>
      </c>
      <c r="E27" s="25" t="str">
        <f t="shared" si="6"/>
        <v>Dez</v>
      </c>
      <c r="F27" s="221">
        <v>8.1999999999999993</v>
      </c>
      <c r="G27" s="221">
        <v>7.1</v>
      </c>
      <c r="H27" s="222">
        <v>5.8</v>
      </c>
    </row>
    <row r="28" spans="2:8" ht="28.25" customHeight="1" x14ac:dyDescent="0.15">
      <c r="B28" s="27">
        <f t="shared" si="4"/>
        <v>25</v>
      </c>
      <c r="C28" s="23">
        <f t="shared" si="5"/>
        <v>44927</v>
      </c>
      <c r="D28" s="25">
        <f t="shared" si="2"/>
        <v>2023</v>
      </c>
      <c r="E28" s="25" t="str">
        <f t="shared" si="6"/>
        <v>Jan</v>
      </c>
      <c r="F28" s="221">
        <v>8.1999999999999993</v>
      </c>
      <c r="G28" s="221">
        <v>7.1</v>
      </c>
      <c r="H28" s="222">
        <v>5.8</v>
      </c>
    </row>
    <row r="29" spans="2:8" ht="28.25" customHeight="1" x14ac:dyDescent="0.15">
      <c r="B29" s="27">
        <f t="shared" si="4"/>
        <v>26</v>
      </c>
      <c r="C29" s="23">
        <f t="shared" si="5"/>
        <v>44958</v>
      </c>
      <c r="D29" s="25">
        <f t="shared" si="2"/>
        <v>2023</v>
      </c>
      <c r="E29" s="25" t="str">
        <f t="shared" si="6"/>
        <v>Feb</v>
      </c>
      <c r="F29" s="221">
        <v>8.1999999999999993</v>
      </c>
      <c r="G29" s="221">
        <v>7.1</v>
      </c>
      <c r="H29" s="222">
        <v>5.8</v>
      </c>
    </row>
    <row r="30" spans="2:8" ht="28.25" customHeight="1" x14ac:dyDescent="0.15">
      <c r="B30" s="27">
        <f t="shared" si="4"/>
        <v>27</v>
      </c>
      <c r="C30" s="23">
        <f t="shared" si="5"/>
        <v>44986</v>
      </c>
      <c r="D30" s="25">
        <f t="shared" si="2"/>
        <v>2023</v>
      </c>
      <c r="E30" s="25" t="str">
        <f t="shared" si="6"/>
        <v>Mrz</v>
      </c>
      <c r="F30" s="221">
        <v>8.1999999999999993</v>
      </c>
      <c r="G30" s="221">
        <v>7.1</v>
      </c>
      <c r="H30" s="222">
        <v>5.8</v>
      </c>
    </row>
    <row r="31" spans="2:8" ht="28.25" customHeight="1" x14ac:dyDescent="0.15">
      <c r="B31" s="27">
        <f t="shared" si="4"/>
        <v>28</v>
      </c>
      <c r="C31" s="23">
        <f t="shared" si="5"/>
        <v>45017</v>
      </c>
      <c r="D31" s="25">
        <f t="shared" si="2"/>
        <v>2023</v>
      </c>
      <c r="E31" s="25" t="str">
        <f t="shared" si="6"/>
        <v>Apr</v>
      </c>
      <c r="F31" s="221">
        <v>8.1999999999999993</v>
      </c>
      <c r="G31" s="221">
        <v>7.1</v>
      </c>
      <c r="H31" s="222">
        <v>5.8</v>
      </c>
    </row>
    <row r="32" spans="2:8" ht="28.25" customHeight="1" x14ac:dyDescent="0.15">
      <c r="B32" s="27">
        <f t="shared" si="4"/>
        <v>29</v>
      </c>
      <c r="C32" s="23">
        <f t="shared" si="5"/>
        <v>45047</v>
      </c>
      <c r="D32" s="25">
        <f t="shared" si="2"/>
        <v>2023</v>
      </c>
      <c r="E32" s="25" t="str">
        <f t="shared" si="6"/>
        <v>Mai</v>
      </c>
      <c r="F32" s="221">
        <v>8.1999999999999993</v>
      </c>
      <c r="G32" s="221">
        <v>7.1</v>
      </c>
      <c r="H32" s="222">
        <v>5.8</v>
      </c>
    </row>
    <row r="33" spans="2:8" ht="28.25" customHeight="1" x14ac:dyDescent="0.15">
      <c r="B33" s="27">
        <f t="shared" si="4"/>
        <v>30</v>
      </c>
      <c r="C33" s="23">
        <f t="shared" si="5"/>
        <v>45078</v>
      </c>
      <c r="D33" s="25">
        <f t="shared" si="2"/>
        <v>2023</v>
      </c>
      <c r="E33" s="25" t="str">
        <f t="shared" si="6"/>
        <v>Jun</v>
      </c>
      <c r="F33" s="221">
        <v>8.1999999999999993</v>
      </c>
      <c r="G33" s="221">
        <v>7.1</v>
      </c>
      <c r="H33" s="222">
        <v>5.8</v>
      </c>
    </row>
    <row r="34" spans="2:8" ht="28.25" customHeight="1" x14ac:dyDescent="0.15">
      <c r="B34" s="27">
        <f t="shared" si="4"/>
        <v>31</v>
      </c>
      <c r="C34" s="23">
        <f t="shared" si="5"/>
        <v>45108</v>
      </c>
      <c r="D34" s="25">
        <f t="shared" si="2"/>
        <v>2023</v>
      </c>
      <c r="E34" s="25" t="str">
        <f t="shared" si="6"/>
        <v>Jul</v>
      </c>
      <c r="F34" s="221">
        <v>8.1999999999999993</v>
      </c>
      <c r="G34" s="221">
        <v>7.1</v>
      </c>
      <c r="H34" s="222">
        <v>5.8</v>
      </c>
    </row>
    <row r="35" spans="2:8" ht="28.25" customHeight="1" x14ac:dyDescent="0.15">
      <c r="B35" s="27">
        <f t="shared" si="4"/>
        <v>32</v>
      </c>
      <c r="C35" s="23">
        <f t="shared" si="5"/>
        <v>45139</v>
      </c>
      <c r="D35" s="25">
        <f t="shared" si="2"/>
        <v>2023</v>
      </c>
      <c r="E35" s="25" t="str">
        <f t="shared" si="6"/>
        <v>Aug</v>
      </c>
      <c r="F35" s="221">
        <v>8.1999999999999993</v>
      </c>
      <c r="G35" s="221">
        <v>7.1</v>
      </c>
      <c r="H35" s="222">
        <v>5.8</v>
      </c>
    </row>
    <row r="36" spans="2:8" ht="28.25" customHeight="1" x14ac:dyDescent="0.15">
      <c r="B36" s="27">
        <f t="shared" si="4"/>
        <v>33</v>
      </c>
      <c r="C36" s="23">
        <f t="shared" si="5"/>
        <v>45170</v>
      </c>
      <c r="D36" s="25">
        <f t="shared" si="2"/>
        <v>2023</v>
      </c>
      <c r="E36" s="25" t="str">
        <f t="shared" si="6"/>
        <v>Sep</v>
      </c>
      <c r="F36" s="221">
        <v>8.1999999999999993</v>
      </c>
      <c r="G36" s="221">
        <v>7.1</v>
      </c>
      <c r="H36" s="222">
        <v>5.8</v>
      </c>
    </row>
    <row r="37" spans="2:8" ht="28.25" customHeight="1" x14ac:dyDescent="0.15">
      <c r="B37" s="27">
        <f t="shared" si="4"/>
        <v>34</v>
      </c>
      <c r="C37" s="23">
        <f t="shared" si="5"/>
        <v>45200</v>
      </c>
      <c r="D37" s="25">
        <f t="shared" si="2"/>
        <v>2023</v>
      </c>
      <c r="E37" s="25" t="str">
        <f t="shared" si="6"/>
        <v>Okt</v>
      </c>
      <c r="F37" s="221">
        <v>8.1999999999999993</v>
      </c>
      <c r="G37" s="221">
        <v>7.1</v>
      </c>
      <c r="H37" s="222">
        <v>5.8</v>
      </c>
    </row>
    <row r="38" spans="2:8" ht="28.25" customHeight="1" x14ac:dyDescent="0.15">
      <c r="B38" s="27">
        <f t="shared" si="4"/>
        <v>35</v>
      </c>
      <c r="C38" s="23">
        <f t="shared" si="5"/>
        <v>45231</v>
      </c>
      <c r="D38" s="25">
        <f t="shared" si="2"/>
        <v>2023</v>
      </c>
      <c r="E38" s="25" t="str">
        <f t="shared" si="6"/>
        <v>Nov</v>
      </c>
      <c r="F38" s="221">
        <v>8.1999999999999993</v>
      </c>
      <c r="G38" s="221">
        <v>7.1</v>
      </c>
      <c r="H38" s="222">
        <v>5.8</v>
      </c>
    </row>
    <row r="39" spans="2:8" ht="28.25" customHeight="1" x14ac:dyDescent="0.15">
      <c r="B39" s="27">
        <f t="shared" si="4"/>
        <v>36</v>
      </c>
      <c r="C39" s="23">
        <f t="shared" si="5"/>
        <v>45261</v>
      </c>
      <c r="D39" s="25">
        <f t="shared" si="2"/>
        <v>2023</v>
      </c>
      <c r="E39" s="25" t="str">
        <f t="shared" si="6"/>
        <v>Dez</v>
      </c>
      <c r="F39" s="221">
        <v>8.1999999999999993</v>
      </c>
      <c r="G39" s="221">
        <v>7.1</v>
      </c>
      <c r="H39" s="222">
        <v>5.8</v>
      </c>
    </row>
    <row r="40" spans="2:8" ht="28.25" customHeight="1" x14ac:dyDescent="0.15">
      <c r="B40" s="27">
        <f t="shared" si="4"/>
        <v>37</v>
      </c>
      <c r="C40" s="23">
        <f t="shared" si="5"/>
        <v>45292</v>
      </c>
      <c r="D40" s="25">
        <f t="shared" si="2"/>
        <v>2024</v>
      </c>
      <c r="E40" s="25" t="str">
        <f t="shared" si="6"/>
        <v>Jan</v>
      </c>
      <c r="F40" s="221"/>
      <c r="G40" s="221"/>
      <c r="H40" s="222"/>
    </row>
    <row r="41" spans="2:8" ht="28.25" customHeight="1" x14ac:dyDescent="0.15">
      <c r="B41" s="27">
        <f t="shared" si="4"/>
        <v>38</v>
      </c>
      <c r="C41" s="23">
        <f t="shared" si="5"/>
        <v>45323</v>
      </c>
      <c r="D41" s="25">
        <f t="shared" si="2"/>
        <v>2024</v>
      </c>
      <c r="E41" s="25" t="str">
        <f t="shared" si="6"/>
        <v>Feb</v>
      </c>
      <c r="F41" s="221"/>
      <c r="G41" s="221"/>
      <c r="H41" s="222"/>
    </row>
    <row r="42" spans="2:8" ht="28.25" customHeight="1" x14ac:dyDescent="0.15">
      <c r="B42" s="27">
        <f t="shared" si="4"/>
        <v>39</v>
      </c>
      <c r="C42" s="23">
        <f t="shared" si="5"/>
        <v>45352</v>
      </c>
      <c r="D42" s="25">
        <f t="shared" si="2"/>
        <v>2024</v>
      </c>
      <c r="E42" s="25" t="str">
        <f t="shared" si="6"/>
        <v>Mrz</v>
      </c>
      <c r="F42" s="221"/>
      <c r="G42" s="221"/>
      <c r="H42" s="222"/>
    </row>
    <row r="43" spans="2:8" ht="28.25" customHeight="1" x14ac:dyDescent="0.15">
      <c r="B43" s="27">
        <f t="shared" si="4"/>
        <v>40</v>
      </c>
      <c r="C43" s="23">
        <f t="shared" si="5"/>
        <v>45383</v>
      </c>
      <c r="D43" s="25">
        <f t="shared" si="2"/>
        <v>2024</v>
      </c>
      <c r="E43" s="25" t="str">
        <f t="shared" si="6"/>
        <v>Apr</v>
      </c>
      <c r="F43" s="221"/>
      <c r="G43" s="221"/>
      <c r="H43" s="222"/>
    </row>
    <row r="44" spans="2:8" ht="28.25" customHeight="1" x14ac:dyDescent="0.15">
      <c r="B44" s="27">
        <f t="shared" si="4"/>
        <v>41</v>
      </c>
      <c r="C44" s="23">
        <f t="shared" si="5"/>
        <v>45413</v>
      </c>
      <c r="D44" s="25">
        <f t="shared" si="2"/>
        <v>2024</v>
      </c>
      <c r="E44" s="25" t="str">
        <f t="shared" si="6"/>
        <v>Mai</v>
      </c>
      <c r="F44" s="221"/>
      <c r="G44" s="221"/>
      <c r="H44" s="222"/>
    </row>
    <row r="45" spans="2:8" ht="28.25" customHeight="1" x14ac:dyDescent="0.15">
      <c r="B45" s="27">
        <f t="shared" si="4"/>
        <v>42</v>
      </c>
      <c r="C45" s="23">
        <f t="shared" si="5"/>
        <v>45444</v>
      </c>
      <c r="D45" s="25">
        <f t="shared" si="2"/>
        <v>2024</v>
      </c>
      <c r="E45" s="25" t="str">
        <f t="shared" si="6"/>
        <v>Jun</v>
      </c>
      <c r="F45" s="221"/>
      <c r="G45" s="221"/>
      <c r="H45" s="222"/>
    </row>
    <row r="46" spans="2:8" ht="28.25" customHeight="1" x14ac:dyDescent="0.15">
      <c r="B46" s="27">
        <f t="shared" si="4"/>
        <v>43</v>
      </c>
      <c r="C46" s="23">
        <f t="shared" si="5"/>
        <v>45474</v>
      </c>
      <c r="D46" s="25">
        <f t="shared" si="2"/>
        <v>2024</v>
      </c>
      <c r="E46" s="25" t="str">
        <f t="shared" si="6"/>
        <v>Jul</v>
      </c>
      <c r="F46" s="221"/>
      <c r="G46" s="221"/>
      <c r="H46" s="222"/>
    </row>
    <row r="47" spans="2:8" ht="28.25" customHeight="1" x14ac:dyDescent="0.15">
      <c r="B47" s="27">
        <f t="shared" si="4"/>
        <v>44</v>
      </c>
      <c r="C47" s="23">
        <f t="shared" si="5"/>
        <v>45505</v>
      </c>
      <c r="D47" s="25">
        <f t="shared" si="2"/>
        <v>2024</v>
      </c>
      <c r="E47" s="25" t="str">
        <f t="shared" si="6"/>
        <v>Aug</v>
      </c>
      <c r="F47" s="221"/>
      <c r="G47" s="221"/>
      <c r="H47" s="222"/>
    </row>
    <row r="48" spans="2:8" ht="28.25" customHeight="1" x14ac:dyDescent="0.15">
      <c r="B48" s="27">
        <f t="shared" si="4"/>
        <v>45</v>
      </c>
      <c r="C48" s="23">
        <f t="shared" si="5"/>
        <v>45536</v>
      </c>
      <c r="D48" s="25">
        <f t="shared" si="2"/>
        <v>2024</v>
      </c>
      <c r="E48" s="25" t="str">
        <f t="shared" si="6"/>
        <v>Sep</v>
      </c>
      <c r="F48" s="221"/>
      <c r="G48" s="221"/>
      <c r="H48" s="222"/>
    </row>
    <row r="49" spans="2:8" ht="28.25" customHeight="1" x14ac:dyDescent="0.15">
      <c r="B49" s="27">
        <f t="shared" si="4"/>
        <v>46</v>
      </c>
      <c r="C49" s="23">
        <f t="shared" si="5"/>
        <v>45566</v>
      </c>
      <c r="D49" s="25">
        <f t="shared" si="2"/>
        <v>2024</v>
      </c>
      <c r="E49" s="25" t="str">
        <f t="shared" si="6"/>
        <v>Okt</v>
      </c>
      <c r="F49" s="221"/>
      <c r="G49" s="221"/>
      <c r="H49" s="222"/>
    </row>
    <row r="50" spans="2:8" ht="28.25" customHeight="1" x14ac:dyDescent="0.15">
      <c r="B50" s="27">
        <f t="shared" si="4"/>
        <v>47</v>
      </c>
      <c r="C50" s="23">
        <f t="shared" si="5"/>
        <v>45597</v>
      </c>
      <c r="D50" s="25">
        <f t="shared" si="2"/>
        <v>2024</v>
      </c>
      <c r="E50" s="25" t="str">
        <f t="shared" si="6"/>
        <v>Nov</v>
      </c>
      <c r="F50" s="221"/>
      <c r="G50" s="221"/>
      <c r="H50" s="222"/>
    </row>
    <row r="51" spans="2:8" ht="28.25" customHeight="1" x14ac:dyDescent="0.15">
      <c r="B51" s="27">
        <f t="shared" si="4"/>
        <v>48</v>
      </c>
      <c r="C51" s="23">
        <f t="shared" si="5"/>
        <v>45627</v>
      </c>
      <c r="D51" s="25">
        <f t="shared" si="2"/>
        <v>2024</v>
      </c>
      <c r="E51" s="25" t="str">
        <f t="shared" si="6"/>
        <v>Dez</v>
      </c>
      <c r="F51" s="221"/>
      <c r="G51" s="221"/>
      <c r="H51" s="222"/>
    </row>
    <row r="52" spans="2:8" ht="28.25" customHeight="1" x14ac:dyDescent="0.15">
      <c r="B52" s="27">
        <f t="shared" ref="B52:B63" si="7">B51+1</f>
        <v>49</v>
      </c>
      <c r="C52" s="23">
        <f t="shared" ref="C52:C63" si="8">DATE(YEAR(C51),MONTH(C51)+1,DAY(C51))</f>
        <v>45658</v>
      </c>
      <c r="D52" s="25">
        <f t="shared" si="2"/>
        <v>2025</v>
      </c>
      <c r="E52" s="25" t="str">
        <f t="shared" ref="E52:E63" si="9">TEXT(C52,"MMM")</f>
        <v>Jan</v>
      </c>
      <c r="F52" s="221"/>
      <c r="G52" s="221"/>
      <c r="H52" s="222"/>
    </row>
    <row r="53" spans="2:8" ht="28.25" customHeight="1" x14ac:dyDescent="0.15">
      <c r="B53" s="27">
        <f t="shared" si="7"/>
        <v>50</v>
      </c>
      <c r="C53" s="23">
        <f t="shared" si="8"/>
        <v>45689</v>
      </c>
      <c r="D53" s="25">
        <f t="shared" si="2"/>
        <v>2025</v>
      </c>
      <c r="E53" s="25" t="str">
        <f t="shared" si="9"/>
        <v>Feb</v>
      </c>
      <c r="F53" s="221"/>
      <c r="G53" s="221"/>
      <c r="H53" s="222"/>
    </row>
    <row r="54" spans="2:8" ht="28.25" customHeight="1" x14ac:dyDescent="0.15">
      <c r="B54" s="27">
        <f t="shared" si="7"/>
        <v>51</v>
      </c>
      <c r="C54" s="23">
        <f t="shared" si="8"/>
        <v>45717</v>
      </c>
      <c r="D54" s="25">
        <f t="shared" si="2"/>
        <v>2025</v>
      </c>
      <c r="E54" s="25" t="str">
        <f t="shared" si="9"/>
        <v>Mrz</v>
      </c>
      <c r="F54" s="221"/>
      <c r="G54" s="221"/>
      <c r="H54" s="222"/>
    </row>
    <row r="55" spans="2:8" ht="28.25" customHeight="1" x14ac:dyDescent="0.15">
      <c r="B55" s="27">
        <f t="shared" si="7"/>
        <v>52</v>
      </c>
      <c r="C55" s="23">
        <f t="shared" si="8"/>
        <v>45748</v>
      </c>
      <c r="D55" s="25">
        <f t="shared" si="2"/>
        <v>2025</v>
      </c>
      <c r="E55" s="25" t="str">
        <f t="shared" si="9"/>
        <v>Apr</v>
      </c>
      <c r="F55" s="221"/>
      <c r="G55" s="221"/>
      <c r="H55" s="222"/>
    </row>
    <row r="56" spans="2:8" ht="28.25" customHeight="1" x14ac:dyDescent="0.15">
      <c r="B56" s="27">
        <f t="shared" si="7"/>
        <v>53</v>
      </c>
      <c r="C56" s="23">
        <f t="shared" si="8"/>
        <v>45778</v>
      </c>
      <c r="D56" s="25">
        <f t="shared" si="2"/>
        <v>2025</v>
      </c>
      <c r="E56" s="25" t="str">
        <f t="shared" si="9"/>
        <v>Mai</v>
      </c>
      <c r="F56" s="221"/>
      <c r="G56" s="221"/>
      <c r="H56" s="222"/>
    </row>
    <row r="57" spans="2:8" ht="28.25" customHeight="1" x14ac:dyDescent="0.15">
      <c r="B57" s="27">
        <f t="shared" si="7"/>
        <v>54</v>
      </c>
      <c r="C57" s="23">
        <f t="shared" si="8"/>
        <v>45809</v>
      </c>
      <c r="D57" s="25">
        <f t="shared" si="2"/>
        <v>2025</v>
      </c>
      <c r="E57" s="25" t="str">
        <f t="shared" si="9"/>
        <v>Jun</v>
      </c>
      <c r="F57" s="221"/>
      <c r="G57" s="221"/>
      <c r="H57" s="222"/>
    </row>
    <row r="58" spans="2:8" ht="28.25" customHeight="1" x14ac:dyDescent="0.15">
      <c r="B58" s="27">
        <f t="shared" si="7"/>
        <v>55</v>
      </c>
      <c r="C58" s="23">
        <f t="shared" si="8"/>
        <v>45839</v>
      </c>
      <c r="D58" s="25">
        <f t="shared" si="2"/>
        <v>2025</v>
      </c>
      <c r="E58" s="25" t="str">
        <f t="shared" si="9"/>
        <v>Jul</v>
      </c>
      <c r="F58" s="221"/>
      <c r="G58" s="221"/>
      <c r="H58" s="222"/>
    </row>
    <row r="59" spans="2:8" ht="28.25" customHeight="1" x14ac:dyDescent="0.15">
      <c r="B59" s="27">
        <f t="shared" si="7"/>
        <v>56</v>
      </c>
      <c r="C59" s="23">
        <f t="shared" si="8"/>
        <v>45870</v>
      </c>
      <c r="D59" s="25">
        <f t="shared" si="2"/>
        <v>2025</v>
      </c>
      <c r="E59" s="25" t="str">
        <f t="shared" si="9"/>
        <v>Aug</v>
      </c>
      <c r="F59" s="221"/>
      <c r="G59" s="221"/>
      <c r="H59" s="222"/>
    </row>
    <row r="60" spans="2:8" ht="28.25" customHeight="1" x14ac:dyDescent="0.15">
      <c r="B60" s="27">
        <f t="shared" si="7"/>
        <v>57</v>
      </c>
      <c r="C60" s="23">
        <f t="shared" si="8"/>
        <v>45901</v>
      </c>
      <c r="D60" s="25">
        <f t="shared" si="2"/>
        <v>2025</v>
      </c>
      <c r="E60" s="25" t="str">
        <f t="shared" si="9"/>
        <v>Sep</v>
      </c>
      <c r="F60" s="221"/>
      <c r="G60" s="221"/>
      <c r="H60" s="222"/>
    </row>
    <row r="61" spans="2:8" ht="28.25" customHeight="1" x14ac:dyDescent="0.15">
      <c r="B61" s="27">
        <f t="shared" si="7"/>
        <v>58</v>
      </c>
      <c r="C61" s="23">
        <f t="shared" si="8"/>
        <v>45931</v>
      </c>
      <c r="D61" s="25">
        <f t="shared" si="2"/>
        <v>2025</v>
      </c>
      <c r="E61" s="25" t="str">
        <f t="shared" si="9"/>
        <v>Okt</v>
      </c>
      <c r="F61" s="221"/>
      <c r="G61" s="221"/>
      <c r="H61" s="222"/>
    </row>
    <row r="62" spans="2:8" ht="28.25" customHeight="1" x14ac:dyDescent="0.15">
      <c r="B62" s="27">
        <f t="shared" si="7"/>
        <v>59</v>
      </c>
      <c r="C62" s="23">
        <f t="shared" si="8"/>
        <v>45962</v>
      </c>
      <c r="D62" s="25">
        <f t="shared" si="2"/>
        <v>2025</v>
      </c>
      <c r="E62" s="25" t="str">
        <f t="shared" si="9"/>
        <v>Nov</v>
      </c>
      <c r="F62" s="221"/>
      <c r="G62" s="221"/>
      <c r="H62" s="222"/>
    </row>
    <row r="63" spans="2:8" ht="28.25" customHeight="1" thickBot="1" x14ac:dyDescent="0.2">
      <c r="B63" s="58">
        <f t="shared" si="7"/>
        <v>60</v>
      </c>
      <c r="C63" s="142">
        <f t="shared" si="8"/>
        <v>45992</v>
      </c>
      <c r="D63" s="143">
        <f t="shared" si="2"/>
        <v>2025</v>
      </c>
      <c r="E63" s="143" t="str">
        <f t="shared" si="9"/>
        <v>Dez</v>
      </c>
      <c r="F63" s="223"/>
      <c r="G63" s="223"/>
      <c r="H63" s="224"/>
    </row>
    <row r="65" spans="2:8" ht="25.25" customHeight="1" thickBot="1" x14ac:dyDescent="0.2"/>
    <row r="66" spans="2:8" ht="25.25" customHeight="1" x14ac:dyDescent="0.15">
      <c r="B66" s="129" t="s">
        <v>26</v>
      </c>
      <c r="C66" s="28"/>
      <c r="D66" s="28"/>
      <c r="E66" s="28"/>
      <c r="F66" s="28"/>
      <c r="G66" s="28"/>
      <c r="H66" s="50"/>
    </row>
    <row r="67" spans="2:8" ht="30" customHeight="1" thickBot="1" x14ac:dyDescent="0.2">
      <c r="B67" s="62" t="s">
        <v>11</v>
      </c>
      <c r="C67" s="55"/>
      <c r="D67" s="55"/>
      <c r="E67" s="56"/>
      <c r="F67" s="63" t="s">
        <v>31</v>
      </c>
      <c r="G67" s="55"/>
      <c r="H67" s="57"/>
    </row>
    <row r="68" spans="2:8" ht="30" customHeight="1" x14ac:dyDescent="0.15">
      <c r="B68" s="52">
        <v>1</v>
      </c>
      <c r="C68" s="28"/>
      <c r="D68" s="28"/>
      <c r="E68" s="53"/>
      <c r="F68" s="216" t="s">
        <v>28</v>
      </c>
      <c r="G68" s="28"/>
      <c r="H68" s="50"/>
    </row>
    <row r="69" spans="2:8" ht="30" customHeight="1" x14ac:dyDescent="0.15">
      <c r="B69" s="27">
        <v>2</v>
      </c>
      <c r="C69" s="21"/>
      <c r="D69" s="21"/>
      <c r="E69" s="54"/>
      <c r="F69" s="217" t="s">
        <v>29</v>
      </c>
      <c r="G69" s="21"/>
      <c r="H69" s="51"/>
    </row>
    <row r="70" spans="2:8" ht="30" customHeight="1" x14ac:dyDescent="0.15">
      <c r="B70" s="27">
        <v>3</v>
      </c>
      <c r="C70" s="21"/>
      <c r="D70" s="21"/>
      <c r="E70" s="54"/>
      <c r="F70" s="217" t="s">
        <v>30</v>
      </c>
      <c r="G70" s="21"/>
      <c r="H70" s="51"/>
    </row>
    <row r="71" spans="2:8" ht="30" customHeight="1" thickBot="1" x14ac:dyDescent="0.2">
      <c r="B71" s="58"/>
      <c r="C71" s="59"/>
      <c r="D71" s="59"/>
      <c r="E71" s="60"/>
      <c r="F71" s="218"/>
      <c r="G71" s="59"/>
      <c r="H71" s="61"/>
    </row>
    <row r="72" spans="2:8" ht="25.25" customHeight="1" thickBot="1" x14ac:dyDescent="0.2"/>
    <row r="73" spans="2:8" ht="32" customHeight="1" x14ac:dyDescent="0.2">
      <c r="B73" s="412" t="s">
        <v>44</v>
      </c>
      <c r="C73" s="413"/>
      <c r="D73" s="413"/>
      <c r="E73" s="413"/>
      <c r="F73" s="413"/>
      <c r="G73" s="413"/>
      <c r="H73" s="414"/>
    </row>
    <row r="74" spans="2:8" ht="25.25" customHeight="1" thickBot="1" x14ac:dyDescent="0.2">
      <c r="B74" s="97" t="s">
        <v>12</v>
      </c>
      <c r="C74" s="98"/>
      <c r="D74" s="98"/>
      <c r="E74" s="86" t="s">
        <v>42</v>
      </c>
      <c r="F74" s="86" t="s">
        <v>46</v>
      </c>
      <c r="G74" s="86" t="s">
        <v>45</v>
      </c>
      <c r="H74" s="99"/>
    </row>
    <row r="75" spans="2:8" ht="25.25" customHeight="1" x14ac:dyDescent="0.15">
      <c r="B75" s="27">
        <v>0</v>
      </c>
      <c r="C75" s="28"/>
      <c r="D75" s="28"/>
      <c r="E75" s="82"/>
      <c r="F75" s="82"/>
      <c r="G75" s="82"/>
      <c r="H75" s="50"/>
    </row>
    <row r="76" spans="2:8" ht="25.25" customHeight="1" x14ac:dyDescent="0.15">
      <c r="B76" s="27">
        <v>1</v>
      </c>
      <c r="C76" s="21"/>
      <c r="D76" s="21"/>
      <c r="E76" s="345">
        <f t="shared" ref="E76:E95" si="10">B_Preis*(1+PrSteig_Sprit)^B76</f>
        <v>1.9</v>
      </c>
      <c r="F76" s="347">
        <f t="shared" ref="F76:F95" si="11">Verbr_Benz</f>
        <v>6</v>
      </c>
      <c r="G76" s="345">
        <f>E76*F76</f>
        <v>11.399999999999999</v>
      </c>
      <c r="H76" s="51"/>
    </row>
    <row r="77" spans="2:8" ht="25.25" customHeight="1" x14ac:dyDescent="0.15">
      <c r="B77" s="27">
        <v>2</v>
      </c>
      <c r="C77" s="21"/>
      <c r="D77" s="21"/>
      <c r="E77" s="345">
        <f t="shared" si="10"/>
        <v>1.9</v>
      </c>
      <c r="F77" s="347">
        <f t="shared" si="11"/>
        <v>6</v>
      </c>
      <c r="G77" s="345">
        <f t="shared" ref="G77:G95" si="12">E77*F77</f>
        <v>11.399999999999999</v>
      </c>
      <c r="H77" s="51"/>
    </row>
    <row r="78" spans="2:8" ht="25.25" customHeight="1" x14ac:dyDescent="0.15">
      <c r="B78" s="27">
        <v>3</v>
      </c>
      <c r="C78" s="21"/>
      <c r="D78" s="21"/>
      <c r="E78" s="345">
        <f t="shared" si="10"/>
        <v>1.9</v>
      </c>
      <c r="F78" s="347">
        <f t="shared" si="11"/>
        <v>6</v>
      </c>
      <c r="G78" s="345">
        <f t="shared" si="12"/>
        <v>11.399999999999999</v>
      </c>
      <c r="H78" s="51"/>
    </row>
    <row r="79" spans="2:8" ht="25.25" customHeight="1" x14ac:dyDescent="0.15">
      <c r="B79" s="27">
        <v>4</v>
      </c>
      <c r="C79" s="21"/>
      <c r="D79" s="21"/>
      <c r="E79" s="345">
        <f t="shared" si="10"/>
        <v>1.9</v>
      </c>
      <c r="F79" s="347">
        <f t="shared" si="11"/>
        <v>6</v>
      </c>
      <c r="G79" s="345">
        <f t="shared" si="12"/>
        <v>11.399999999999999</v>
      </c>
      <c r="H79" s="51"/>
    </row>
    <row r="80" spans="2:8" ht="25.25" customHeight="1" x14ac:dyDescent="0.15">
      <c r="B80" s="27">
        <v>5</v>
      </c>
      <c r="C80" s="21"/>
      <c r="D80" s="21"/>
      <c r="E80" s="345">
        <f t="shared" si="10"/>
        <v>1.9</v>
      </c>
      <c r="F80" s="347">
        <f t="shared" si="11"/>
        <v>6</v>
      </c>
      <c r="G80" s="345">
        <f t="shared" si="12"/>
        <v>11.399999999999999</v>
      </c>
      <c r="H80" s="51"/>
    </row>
    <row r="81" spans="2:8" ht="25.25" customHeight="1" x14ac:dyDescent="0.15">
      <c r="B81" s="27">
        <v>6</v>
      </c>
      <c r="C81" s="21"/>
      <c r="D81" s="21"/>
      <c r="E81" s="345">
        <f t="shared" si="10"/>
        <v>1.9</v>
      </c>
      <c r="F81" s="347">
        <f t="shared" si="11"/>
        <v>6</v>
      </c>
      <c r="G81" s="345">
        <f t="shared" si="12"/>
        <v>11.399999999999999</v>
      </c>
      <c r="H81" s="51"/>
    </row>
    <row r="82" spans="2:8" ht="25.25" customHeight="1" x14ac:dyDescent="0.15">
      <c r="B82" s="27">
        <v>7</v>
      </c>
      <c r="C82" s="21"/>
      <c r="D82" s="21"/>
      <c r="E82" s="345">
        <f t="shared" si="10"/>
        <v>1.9</v>
      </c>
      <c r="F82" s="347">
        <f t="shared" si="11"/>
        <v>6</v>
      </c>
      <c r="G82" s="345">
        <f t="shared" si="12"/>
        <v>11.399999999999999</v>
      </c>
      <c r="H82" s="51"/>
    </row>
    <row r="83" spans="2:8" ht="25.25" customHeight="1" x14ac:dyDescent="0.15">
      <c r="B83" s="27">
        <v>8</v>
      </c>
      <c r="C83" s="21"/>
      <c r="D83" s="21"/>
      <c r="E83" s="345">
        <f t="shared" si="10"/>
        <v>1.9</v>
      </c>
      <c r="F83" s="347">
        <f t="shared" si="11"/>
        <v>6</v>
      </c>
      <c r="G83" s="345">
        <f t="shared" si="12"/>
        <v>11.399999999999999</v>
      </c>
      <c r="H83" s="51"/>
    </row>
    <row r="84" spans="2:8" ht="25.25" customHeight="1" x14ac:dyDescent="0.15">
      <c r="B84" s="27">
        <v>9</v>
      </c>
      <c r="C84" s="21"/>
      <c r="D84" s="21"/>
      <c r="E84" s="345">
        <f t="shared" si="10"/>
        <v>1.9</v>
      </c>
      <c r="F84" s="347">
        <f t="shared" si="11"/>
        <v>6</v>
      </c>
      <c r="G84" s="345">
        <f t="shared" si="12"/>
        <v>11.399999999999999</v>
      </c>
      <c r="H84" s="51"/>
    </row>
    <row r="85" spans="2:8" ht="25.25" customHeight="1" x14ac:dyDescent="0.15">
      <c r="B85" s="27">
        <v>10</v>
      </c>
      <c r="C85" s="21"/>
      <c r="D85" s="21"/>
      <c r="E85" s="345">
        <f t="shared" si="10"/>
        <v>1.9</v>
      </c>
      <c r="F85" s="347">
        <f t="shared" si="11"/>
        <v>6</v>
      </c>
      <c r="G85" s="345">
        <f t="shared" si="12"/>
        <v>11.399999999999999</v>
      </c>
      <c r="H85" s="51"/>
    </row>
    <row r="86" spans="2:8" ht="25.25" customHeight="1" x14ac:dyDescent="0.15">
      <c r="B86" s="27">
        <v>11</v>
      </c>
      <c r="C86" s="21"/>
      <c r="D86" s="21"/>
      <c r="E86" s="345">
        <f t="shared" si="10"/>
        <v>1.9</v>
      </c>
      <c r="F86" s="347">
        <f t="shared" si="11"/>
        <v>6</v>
      </c>
      <c r="G86" s="345">
        <f t="shared" si="12"/>
        <v>11.399999999999999</v>
      </c>
      <c r="H86" s="51"/>
    </row>
    <row r="87" spans="2:8" ht="25.25" customHeight="1" x14ac:dyDescent="0.15">
      <c r="B87" s="27">
        <v>12</v>
      </c>
      <c r="C87" s="21"/>
      <c r="D87" s="21"/>
      <c r="E87" s="345">
        <f t="shared" si="10"/>
        <v>1.9</v>
      </c>
      <c r="F87" s="347">
        <f t="shared" si="11"/>
        <v>6</v>
      </c>
      <c r="G87" s="345">
        <f t="shared" si="12"/>
        <v>11.399999999999999</v>
      </c>
      <c r="H87" s="51"/>
    </row>
    <row r="88" spans="2:8" ht="25.25" customHeight="1" x14ac:dyDescent="0.15">
      <c r="B88" s="27">
        <v>13</v>
      </c>
      <c r="C88" s="21"/>
      <c r="D88" s="21"/>
      <c r="E88" s="345">
        <f t="shared" si="10"/>
        <v>1.9</v>
      </c>
      <c r="F88" s="347">
        <f t="shared" si="11"/>
        <v>6</v>
      </c>
      <c r="G88" s="345">
        <f t="shared" si="12"/>
        <v>11.399999999999999</v>
      </c>
      <c r="H88" s="51"/>
    </row>
    <row r="89" spans="2:8" ht="25.25" customHeight="1" x14ac:dyDescent="0.15">
      <c r="B89" s="27">
        <v>14</v>
      </c>
      <c r="C89" s="21"/>
      <c r="D89" s="21"/>
      <c r="E89" s="345">
        <f t="shared" si="10"/>
        <v>1.9</v>
      </c>
      <c r="F89" s="347">
        <f t="shared" si="11"/>
        <v>6</v>
      </c>
      <c r="G89" s="345">
        <f t="shared" si="12"/>
        <v>11.399999999999999</v>
      </c>
      <c r="H89" s="51"/>
    </row>
    <row r="90" spans="2:8" ht="25.25" customHeight="1" x14ac:dyDescent="0.15">
      <c r="B90" s="27">
        <v>15</v>
      </c>
      <c r="C90" s="21"/>
      <c r="D90" s="21"/>
      <c r="E90" s="345">
        <f t="shared" si="10"/>
        <v>1.9</v>
      </c>
      <c r="F90" s="347">
        <f t="shared" si="11"/>
        <v>6</v>
      </c>
      <c r="G90" s="345">
        <f t="shared" si="12"/>
        <v>11.399999999999999</v>
      </c>
      <c r="H90" s="51"/>
    </row>
    <row r="91" spans="2:8" ht="25.25" customHeight="1" x14ac:dyDescent="0.15">
      <c r="B91" s="27">
        <v>16</v>
      </c>
      <c r="C91" s="21"/>
      <c r="D91" s="21"/>
      <c r="E91" s="345">
        <f t="shared" si="10"/>
        <v>1.9</v>
      </c>
      <c r="F91" s="347">
        <f t="shared" si="11"/>
        <v>6</v>
      </c>
      <c r="G91" s="345">
        <f t="shared" si="12"/>
        <v>11.399999999999999</v>
      </c>
      <c r="H91" s="51"/>
    </row>
    <row r="92" spans="2:8" ht="25.25" customHeight="1" x14ac:dyDescent="0.15">
      <c r="B92" s="27">
        <v>17</v>
      </c>
      <c r="C92" s="21"/>
      <c r="D92" s="21"/>
      <c r="E92" s="345">
        <f t="shared" si="10"/>
        <v>1.9</v>
      </c>
      <c r="F92" s="347">
        <f t="shared" si="11"/>
        <v>6</v>
      </c>
      <c r="G92" s="345">
        <f t="shared" si="12"/>
        <v>11.399999999999999</v>
      </c>
      <c r="H92" s="51"/>
    </row>
    <row r="93" spans="2:8" ht="25.25" customHeight="1" x14ac:dyDescent="0.15">
      <c r="B93" s="27">
        <v>18</v>
      </c>
      <c r="C93" s="21"/>
      <c r="D93" s="21"/>
      <c r="E93" s="345">
        <f t="shared" si="10"/>
        <v>1.9</v>
      </c>
      <c r="F93" s="347">
        <f t="shared" si="11"/>
        <v>6</v>
      </c>
      <c r="G93" s="345">
        <f t="shared" si="12"/>
        <v>11.399999999999999</v>
      </c>
      <c r="H93" s="51"/>
    </row>
    <row r="94" spans="2:8" ht="25.25" customHeight="1" x14ac:dyDescent="0.15">
      <c r="B94" s="27">
        <v>19</v>
      </c>
      <c r="C94" s="21"/>
      <c r="D94" s="21"/>
      <c r="E94" s="345">
        <f t="shared" si="10"/>
        <v>1.9</v>
      </c>
      <c r="F94" s="347">
        <f t="shared" si="11"/>
        <v>6</v>
      </c>
      <c r="G94" s="345">
        <f t="shared" si="12"/>
        <v>11.399999999999999</v>
      </c>
      <c r="H94" s="51"/>
    </row>
    <row r="95" spans="2:8" ht="25.25" customHeight="1" thickBot="1" x14ac:dyDescent="0.2">
      <c r="B95" s="58">
        <v>20</v>
      </c>
      <c r="C95" s="59"/>
      <c r="D95" s="59"/>
      <c r="E95" s="346">
        <f t="shared" si="10"/>
        <v>1.9</v>
      </c>
      <c r="F95" s="348">
        <f t="shared" si="11"/>
        <v>6</v>
      </c>
      <c r="G95" s="346">
        <f t="shared" si="12"/>
        <v>11.399999999999999</v>
      </c>
      <c r="H95" s="61"/>
    </row>
    <row r="96" spans="2:8" ht="25.25" customHeight="1" thickBot="1" x14ac:dyDescent="0.2">
      <c r="B96" s="93"/>
      <c r="C96" s="93"/>
      <c r="D96" s="95" t="s">
        <v>43</v>
      </c>
      <c r="E96" s="94">
        <f>AVERAGE(E76:E95)</f>
        <v>1.8999999999999992</v>
      </c>
      <c r="F96" s="93"/>
      <c r="G96" s="94">
        <f>AVERAGE(G76:G95)</f>
        <v>11.400000000000002</v>
      </c>
      <c r="H96" s="93"/>
    </row>
    <row r="97" spans="2:8" ht="25.25" customHeight="1" thickTop="1" thickBot="1" x14ac:dyDescent="0.2"/>
    <row r="98" spans="2:8" ht="25.25" customHeight="1" x14ac:dyDescent="0.15">
      <c r="B98" s="129" t="s">
        <v>72</v>
      </c>
      <c r="C98" s="28"/>
      <c r="D98" s="28"/>
      <c r="E98" s="28"/>
      <c r="F98" s="28"/>
      <c r="G98" s="28"/>
      <c r="H98" s="50"/>
    </row>
    <row r="99" spans="2:8" ht="28.25" customHeight="1" thickBot="1" x14ac:dyDescent="0.2">
      <c r="B99" s="62" t="s">
        <v>11</v>
      </c>
      <c r="C99" s="55"/>
      <c r="D99" s="55"/>
      <c r="E99" s="144" t="s">
        <v>71</v>
      </c>
      <c r="F99" s="63" t="s">
        <v>70</v>
      </c>
      <c r="G99" s="55"/>
      <c r="H99" s="57"/>
    </row>
    <row r="100" spans="2:8" ht="28.25" customHeight="1" x14ac:dyDescent="0.15">
      <c r="B100" s="52">
        <v>1</v>
      </c>
      <c r="C100" s="28"/>
      <c r="D100" s="28"/>
      <c r="E100" s="213">
        <v>10</v>
      </c>
      <c r="F100" s="350">
        <f>IF(PV_Leistung&lt;E100,1,E100/PV_Leistung)</f>
        <v>1</v>
      </c>
      <c r="G100" s="145" t="s">
        <v>270</v>
      </c>
      <c r="H100" s="50"/>
    </row>
    <row r="101" spans="2:8" ht="28.25" customHeight="1" x14ac:dyDescent="0.15">
      <c r="B101" s="27">
        <v>2</v>
      </c>
      <c r="C101" s="21"/>
      <c r="D101" s="21"/>
      <c r="E101" s="214">
        <v>40</v>
      </c>
      <c r="F101" s="349">
        <f>IF(PV_Leistung&lt;E101,1-F100,(E101-E100)/PV_Leistung)</f>
        <v>0</v>
      </c>
      <c r="G101" s="39" t="s">
        <v>271</v>
      </c>
      <c r="H101" s="51"/>
    </row>
    <row r="102" spans="2:8" ht="28.25" customHeight="1" x14ac:dyDescent="0.15">
      <c r="B102" s="27">
        <v>3</v>
      </c>
      <c r="C102" s="21"/>
      <c r="D102" s="21"/>
      <c r="E102" s="214">
        <v>750</v>
      </c>
      <c r="F102" s="349">
        <f>1-F100-F101</f>
        <v>0</v>
      </c>
      <c r="G102" s="39" t="s">
        <v>272</v>
      </c>
      <c r="H102" s="51"/>
    </row>
    <row r="103" spans="2:8" ht="28.25" customHeight="1" thickBot="1" x14ac:dyDescent="0.2">
      <c r="B103" s="58"/>
      <c r="C103" s="59"/>
      <c r="D103" s="59"/>
      <c r="E103" s="215"/>
      <c r="F103" s="91"/>
      <c r="G103" s="59"/>
      <c r="H103" s="61"/>
    </row>
    <row r="104" spans="2:8" ht="25.25" customHeight="1" thickBot="1" x14ac:dyDescent="0.2"/>
    <row r="105" spans="2:8" ht="25.25" customHeight="1" x14ac:dyDescent="0.15">
      <c r="B105" s="129" t="s">
        <v>175</v>
      </c>
      <c r="C105" s="28"/>
      <c r="D105" s="28"/>
      <c r="E105" s="28"/>
      <c r="F105" s="28"/>
      <c r="G105" s="28"/>
      <c r="H105" s="50"/>
    </row>
    <row r="106" spans="2:8" ht="25.25" customHeight="1" thickBot="1" x14ac:dyDescent="0.25">
      <c r="B106" s="62" t="s">
        <v>11</v>
      </c>
      <c r="C106" s="55"/>
      <c r="D106" s="406" t="s">
        <v>174</v>
      </c>
      <c r="E106" s="407"/>
      <c r="F106" s="313"/>
      <c r="G106" s="55"/>
      <c r="H106" s="57"/>
    </row>
    <row r="107" spans="2:8" ht="25.25" customHeight="1" x14ac:dyDescent="0.2">
      <c r="B107" s="52">
        <v>1</v>
      </c>
      <c r="C107" s="28"/>
      <c r="D107" s="327" t="s">
        <v>187</v>
      </c>
      <c r="E107" s="320"/>
      <c r="F107" s="314"/>
      <c r="G107" s="145"/>
      <c r="H107" s="50"/>
    </row>
    <row r="108" spans="2:8" ht="25.25" customHeight="1" x14ac:dyDescent="0.2">
      <c r="B108" s="27">
        <v>2</v>
      </c>
      <c r="C108" s="21"/>
      <c r="D108" s="328" t="s">
        <v>172</v>
      </c>
      <c r="E108" s="321"/>
      <c r="F108" s="315"/>
      <c r="G108" s="39"/>
      <c r="H108" s="51"/>
    </row>
    <row r="109" spans="2:8" ht="25.25" customHeight="1" x14ac:dyDescent="0.2">
      <c r="B109" s="27">
        <v>3</v>
      </c>
      <c r="C109" s="21"/>
      <c r="D109" s="328" t="s">
        <v>173</v>
      </c>
      <c r="E109" s="321"/>
      <c r="F109" s="315"/>
      <c r="G109" s="39"/>
      <c r="H109" s="51"/>
    </row>
    <row r="110" spans="2:8" ht="25.25" customHeight="1" x14ac:dyDescent="0.2">
      <c r="B110" s="27">
        <v>4</v>
      </c>
      <c r="C110" s="9"/>
      <c r="D110" s="328" t="s">
        <v>204</v>
      </c>
      <c r="E110" s="321"/>
      <c r="F110" s="316"/>
      <c r="G110" s="10"/>
      <c r="H110" s="312"/>
    </row>
    <row r="111" spans="2:8" ht="25.25" customHeight="1" x14ac:dyDescent="0.2">
      <c r="B111" s="27">
        <v>5</v>
      </c>
      <c r="C111" s="9"/>
      <c r="D111" s="328" t="s">
        <v>205</v>
      </c>
      <c r="E111" s="321"/>
      <c r="F111" s="316"/>
      <c r="G111" s="10"/>
      <c r="H111" s="312"/>
    </row>
    <row r="112" spans="2:8" ht="25.25" customHeight="1" x14ac:dyDescent="0.2">
      <c r="B112" s="27">
        <v>6</v>
      </c>
      <c r="C112" s="9"/>
      <c r="D112" s="328" t="s">
        <v>206</v>
      </c>
      <c r="E112" s="321"/>
      <c r="F112" s="316"/>
      <c r="G112" s="10"/>
      <c r="H112" s="312"/>
    </row>
    <row r="113" spans="2:8" ht="25.25" customHeight="1" x14ac:dyDescent="0.2">
      <c r="B113" s="27">
        <v>7</v>
      </c>
      <c r="C113" s="9"/>
      <c r="D113" s="328" t="s">
        <v>207</v>
      </c>
      <c r="E113" s="321"/>
      <c r="F113" s="316"/>
      <c r="G113" s="10"/>
      <c r="H113" s="312"/>
    </row>
    <row r="114" spans="2:8" ht="25.25" customHeight="1" x14ac:dyDescent="0.2">
      <c r="B114" s="27">
        <v>8</v>
      </c>
      <c r="C114" s="9"/>
      <c r="D114" s="328"/>
      <c r="E114" s="321"/>
      <c r="F114" s="316"/>
      <c r="G114" s="10"/>
      <c r="H114" s="312"/>
    </row>
    <row r="115" spans="2:8" ht="25.25" customHeight="1" thickBot="1" x14ac:dyDescent="0.2">
      <c r="B115" s="58"/>
      <c r="C115" s="59"/>
      <c r="D115" s="318"/>
      <c r="E115" s="319"/>
      <c r="F115" s="59"/>
      <c r="G115" s="59"/>
      <c r="H115" s="61"/>
    </row>
    <row r="116" spans="2:8" ht="25.25" customHeight="1" thickBot="1" x14ac:dyDescent="0.2"/>
    <row r="117" spans="2:8" ht="25.25" customHeight="1" x14ac:dyDescent="0.15">
      <c r="B117" s="129" t="s">
        <v>185</v>
      </c>
      <c r="C117" s="28"/>
      <c r="D117" s="28"/>
      <c r="E117" s="28"/>
      <c r="F117" s="28"/>
      <c r="G117" s="28"/>
      <c r="H117" s="50"/>
    </row>
    <row r="118" spans="2:8" ht="25.25" customHeight="1" thickBot="1" x14ac:dyDescent="0.25">
      <c r="B118" s="62" t="s">
        <v>11</v>
      </c>
      <c r="C118" s="55"/>
      <c r="D118" s="406" t="s">
        <v>184</v>
      </c>
      <c r="E118" s="407"/>
      <c r="F118" s="313"/>
      <c r="G118" s="55"/>
      <c r="H118" s="57"/>
    </row>
    <row r="119" spans="2:8" ht="25.25" customHeight="1" x14ac:dyDescent="0.2">
      <c r="B119" s="52">
        <v>1</v>
      </c>
      <c r="C119" s="28"/>
      <c r="D119" s="324">
        <v>-90</v>
      </c>
      <c r="E119" s="322"/>
      <c r="F119" s="314"/>
      <c r="G119" s="145"/>
      <c r="H119" s="50"/>
    </row>
    <row r="120" spans="2:8" ht="25.25" customHeight="1" x14ac:dyDescent="0.2">
      <c r="B120" s="27">
        <v>2</v>
      </c>
      <c r="C120" s="21"/>
      <c r="D120" s="325">
        <v>-60</v>
      </c>
      <c r="E120" s="323"/>
      <c r="F120" s="315"/>
      <c r="G120" s="39"/>
      <c r="H120" s="51"/>
    </row>
    <row r="121" spans="2:8" ht="25.25" customHeight="1" x14ac:dyDescent="0.2">
      <c r="B121" s="27">
        <v>3</v>
      </c>
      <c r="C121" s="21"/>
      <c r="D121" s="325">
        <v>-45</v>
      </c>
      <c r="E121" s="323"/>
      <c r="F121" s="315"/>
      <c r="G121" s="39"/>
      <c r="H121" s="51"/>
    </row>
    <row r="122" spans="2:8" ht="25.25" customHeight="1" x14ac:dyDescent="0.2">
      <c r="B122" s="27">
        <v>4</v>
      </c>
      <c r="C122" s="9"/>
      <c r="D122" s="325">
        <v>-40</v>
      </c>
      <c r="E122" s="323"/>
      <c r="F122" s="316"/>
      <c r="G122" s="10"/>
      <c r="H122" s="312"/>
    </row>
    <row r="123" spans="2:8" ht="25.25" customHeight="1" x14ac:dyDescent="0.2">
      <c r="B123" s="27">
        <v>5</v>
      </c>
      <c r="C123" s="9"/>
      <c r="D123" s="325">
        <v>-35</v>
      </c>
      <c r="E123" s="323"/>
      <c r="F123" s="316"/>
      <c r="G123" s="10"/>
      <c r="H123" s="312"/>
    </row>
    <row r="124" spans="2:8" ht="25.25" customHeight="1" x14ac:dyDescent="0.2">
      <c r="B124" s="27">
        <v>6</v>
      </c>
      <c r="C124" s="9"/>
      <c r="D124" s="325">
        <v>-25</v>
      </c>
      <c r="E124" s="323"/>
      <c r="F124" s="316"/>
      <c r="G124" s="10"/>
      <c r="H124" s="312"/>
    </row>
    <row r="125" spans="2:8" ht="25.25" customHeight="1" x14ac:dyDescent="0.2">
      <c r="B125" s="27">
        <v>7</v>
      </c>
      <c r="C125" s="9"/>
      <c r="D125" s="325">
        <v>-15</v>
      </c>
      <c r="E125" s="323"/>
      <c r="F125" s="316"/>
      <c r="G125" s="10"/>
      <c r="H125" s="312"/>
    </row>
    <row r="126" spans="2:8" ht="25.25" customHeight="1" x14ac:dyDescent="0.2">
      <c r="B126" s="27">
        <v>8</v>
      </c>
      <c r="C126" s="9"/>
      <c r="D126" s="325">
        <v>0</v>
      </c>
      <c r="E126" s="323"/>
      <c r="F126" s="316"/>
      <c r="G126" s="10"/>
      <c r="H126" s="312"/>
    </row>
    <row r="127" spans="2:8" ht="25.25" customHeight="1" x14ac:dyDescent="0.2">
      <c r="B127" s="27">
        <v>9</v>
      </c>
      <c r="C127" s="9"/>
      <c r="D127" s="326" t="s">
        <v>179</v>
      </c>
      <c r="E127" s="323"/>
      <c r="F127" s="316"/>
      <c r="G127" s="10"/>
      <c r="H127" s="312"/>
    </row>
    <row r="128" spans="2:8" ht="25.25" customHeight="1" x14ac:dyDescent="0.2">
      <c r="B128" s="27">
        <v>10</v>
      </c>
      <c r="C128" s="9"/>
      <c r="D128" s="326" t="s">
        <v>180</v>
      </c>
      <c r="E128" s="323"/>
      <c r="F128" s="316"/>
      <c r="G128" s="10"/>
      <c r="H128" s="312"/>
    </row>
    <row r="129" spans="2:8" ht="25.25" customHeight="1" x14ac:dyDescent="0.2">
      <c r="B129" s="27">
        <v>11</v>
      </c>
      <c r="C129" s="9"/>
      <c r="D129" s="326" t="s">
        <v>181</v>
      </c>
      <c r="E129" s="323"/>
      <c r="F129" s="316"/>
      <c r="G129" s="10"/>
      <c r="H129" s="312"/>
    </row>
    <row r="130" spans="2:8" ht="25.25" customHeight="1" x14ac:dyDescent="0.2">
      <c r="B130" s="27">
        <v>12</v>
      </c>
      <c r="C130" s="9"/>
      <c r="D130" s="326" t="s">
        <v>177</v>
      </c>
      <c r="E130" s="323"/>
      <c r="F130" s="316"/>
      <c r="G130" s="10"/>
      <c r="H130" s="312"/>
    </row>
    <row r="131" spans="2:8" ht="25.25" customHeight="1" x14ac:dyDescent="0.2">
      <c r="B131" s="27">
        <v>13</v>
      </c>
      <c r="C131" s="9"/>
      <c r="D131" s="326" t="s">
        <v>182</v>
      </c>
      <c r="E131" s="323"/>
      <c r="F131" s="316"/>
      <c r="G131" s="10"/>
      <c r="H131" s="312"/>
    </row>
    <row r="132" spans="2:8" ht="25.25" customHeight="1" x14ac:dyDescent="0.2">
      <c r="B132" s="27">
        <v>14</v>
      </c>
      <c r="C132" s="9"/>
      <c r="D132" s="326" t="s">
        <v>183</v>
      </c>
      <c r="E132" s="323"/>
      <c r="F132" s="316"/>
      <c r="G132" s="10"/>
      <c r="H132" s="312"/>
    </row>
    <row r="133" spans="2:8" ht="25.25" customHeight="1" x14ac:dyDescent="0.2">
      <c r="B133" s="27"/>
      <c r="C133" s="9"/>
      <c r="D133" s="326"/>
      <c r="E133" s="323"/>
      <c r="F133" s="316"/>
      <c r="G133" s="10"/>
      <c r="H133" s="312"/>
    </row>
    <row r="134" spans="2:8" ht="25.25" customHeight="1" thickBot="1" x14ac:dyDescent="0.2">
      <c r="B134" s="58"/>
      <c r="C134" s="59"/>
      <c r="D134" s="318"/>
      <c r="E134" s="317"/>
      <c r="F134" s="59"/>
      <c r="G134" s="59"/>
      <c r="H134" s="61"/>
    </row>
  </sheetData>
  <sheetProtection algorithmName="SHA-512" hashValue="iyTpRuzqj/lGBvPKXzVfvhCY0QE0yFihsNrwojwwbwU0vWecDGtB2b6MnSl53GZ3cpV4TeexEBfvt1XnpdiinA==" saltValue="XZ6Az4hgUtW5dODhY38poA==" spinCount="100000" sheet="1" objects="1" scenarios="1"/>
  <mergeCells count="5">
    <mergeCell ref="D106:E106"/>
    <mergeCell ref="D118:E118"/>
    <mergeCell ref="F2:H2"/>
    <mergeCell ref="D2:E2"/>
    <mergeCell ref="B73:H73"/>
  </mergeCells>
  <phoneticPr fontId="29" type="noConversion"/>
  <pageMargins left="0.7" right="0.7" top="0.78740157499999996" bottom="0.78740157499999996" header="0.3" footer="0.3"/>
  <pageSetup paperSize="9" orientation="portrait" r:id="rId1"/>
  <ignoredErrors>
    <ignoredError sqref="D127:D132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Menue">
                <anchor moveWithCells="1" sizeWithCells="1">
                  <from>
                    <xdr:col>9</xdr:col>
                    <xdr:colOff>177800</xdr:colOff>
                    <xdr:row>1</xdr:row>
                    <xdr:rowOff>177800</xdr:rowOff>
                  </from>
                  <to>
                    <xdr:col>11</xdr:col>
                    <xdr:colOff>558800</xdr:colOff>
                    <xdr:row>2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8"/>
  <dimension ref="B1:K35"/>
  <sheetViews>
    <sheetView showGridLines="0" zoomScaleNormal="100" workbookViewId="0">
      <pane ySplit="3" topLeftCell="A4" activePane="bottomLeft" state="frozen"/>
      <selection activeCell="E22" sqref="E22"/>
      <selection pane="bottomLeft" activeCell="F12" sqref="F12"/>
    </sheetView>
  </sheetViews>
  <sheetFormatPr baseColWidth="10" defaultColWidth="10.6640625" defaultRowHeight="25.25" customHeight="1" x14ac:dyDescent="0.15"/>
  <cols>
    <col min="1" max="1" width="1.6640625" style="1" customWidth="1"/>
    <col min="2" max="2" width="5.6640625" style="1" customWidth="1"/>
    <col min="3" max="3" width="12.6640625" style="1" customWidth="1"/>
    <col min="4" max="4" width="35.6640625" style="1" customWidth="1"/>
    <col min="5" max="5" width="60.6640625" style="1" customWidth="1"/>
    <col min="6" max="6" width="50.6640625" style="1" customWidth="1"/>
    <col min="7" max="7" width="25.6640625" style="1" customWidth="1"/>
    <col min="8" max="8" width="8.6640625" style="1" customWidth="1"/>
    <col min="9" max="16384" width="10.6640625" style="1"/>
  </cols>
  <sheetData>
    <row r="1" spans="2:11" ht="45" customHeight="1" thickBot="1" x14ac:dyDescent="0.25">
      <c r="B1" s="140" t="s">
        <v>104</v>
      </c>
      <c r="G1" s="150" t="s">
        <v>91</v>
      </c>
    </row>
    <row r="2" spans="2:11" ht="25.25" customHeight="1" x14ac:dyDescent="0.15">
      <c r="B2" s="3"/>
      <c r="C2" s="64"/>
      <c r="D2" s="64"/>
      <c r="E2" s="64"/>
      <c r="F2" s="64"/>
      <c r="G2" s="4"/>
      <c r="I2" s="3"/>
      <c r="J2" s="64"/>
      <c r="K2" s="4"/>
    </row>
    <row r="3" spans="2:11" ht="32" customHeight="1" thickBot="1" x14ac:dyDescent="0.2">
      <c r="B3" s="232" t="s">
        <v>11</v>
      </c>
      <c r="C3" s="233" t="s">
        <v>99</v>
      </c>
      <c r="D3" s="233" t="s">
        <v>100</v>
      </c>
      <c r="E3" s="233" t="s">
        <v>101</v>
      </c>
      <c r="F3" s="233" t="s">
        <v>102</v>
      </c>
      <c r="G3" s="234" t="s">
        <v>103</v>
      </c>
      <c r="I3" s="19"/>
      <c r="J3" s="20"/>
      <c r="K3" s="42"/>
    </row>
    <row r="4" spans="2:11" ht="28.25" customHeight="1" thickTop="1" x14ac:dyDescent="0.15">
      <c r="B4" s="231">
        <f>IF(C4="","",1)</f>
        <v>1</v>
      </c>
      <c r="C4" s="275">
        <v>44689</v>
      </c>
      <c r="D4" s="276" t="s">
        <v>155</v>
      </c>
      <c r="E4" s="342" t="s">
        <v>188</v>
      </c>
      <c r="F4" s="342"/>
      <c r="G4" s="333" t="s">
        <v>150</v>
      </c>
      <c r="I4" s="64"/>
      <c r="J4" s="64"/>
      <c r="K4" s="64"/>
    </row>
    <row r="5" spans="2:11" ht="28.25" customHeight="1" x14ac:dyDescent="0.15">
      <c r="B5" s="27">
        <f>IF(C5="","",B4+1)</f>
        <v>2</v>
      </c>
      <c r="C5" s="277">
        <v>44715</v>
      </c>
      <c r="D5" s="276" t="s">
        <v>200</v>
      </c>
      <c r="E5" s="343" t="s">
        <v>189</v>
      </c>
      <c r="F5" s="343"/>
      <c r="G5" s="334" t="s">
        <v>190</v>
      </c>
    </row>
    <row r="6" spans="2:11" ht="28.25" customHeight="1" x14ac:dyDescent="0.15">
      <c r="B6" s="27">
        <f t="shared" ref="B6:B35" si="0">IF(C6="","",B5+1)</f>
        <v>3</v>
      </c>
      <c r="C6" s="277">
        <v>44782</v>
      </c>
      <c r="D6" s="276" t="s">
        <v>201</v>
      </c>
      <c r="E6" s="343" t="s">
        <v>202</v>
      </c>
      <c r="F6" s="343" t="s">
        <v>203</v>
      </c>
      <c r="G6" s="334" t="s">
        <v>190</v>
      </c>
    </row>
    <row r="7" spans="2:11" ht="28.25" customHeight="1" x14ac:dyDescent="0.15">
      <c r="B7" s="27">
        <f t="shared" si="0"/>
        <v>4</v>
      </c>
      <c r="C7" s="277">
        <v>44833</v>
      </c>
      <c r="D7" s="217" t="s">
        <v>213</v>
      </c>
      <c r="E7" s="343" t="s">
        <v>214</v>
      </c>
      <c r="F7" s="343" t="s">
        <v>215</v>
      </c>
      <c r="G7" s="334" t="s">
        <v>216</v>
      </c>
    </row>
    <row r="8" spans="2:11" ht="28.25" customHeight="1" x14ac:dyDescent="0.15">
      <c r="B8" s="27">
        <f t="shared" si="0"/>
        <v>5</v>
      </c>
      <c r="C8" s="277">
        <v>44868</v>
      </c>
      <c r="D8" s="217" t="s">
        <v>221</v>
      </c>
      <c r="E8" s="343" t="s">
        <v>217</v>
      </c>
      <c r="F8" s="343" t="s">
        <v>218</v>
      </c>
      <c r="G8" s="334" t="s">
        <v>150</v>
      </c>
    </row>
    <row r="9" spans="2:11" ht="28.25" customHeight="1" x14ac:dyDescent="0.15">
      <c r="B9" s="27">
        <f t="shared" si="0"/>
        <v>6</v>
      </c>
      <c r="C9" s="277">
        <v>44894</v>
      </c>
      <c r="D9" s="217" t="s">
        <v>222</v>
      </c>
      <c r="E9" s="343" t="s">
        <v>223</v>
      </c>
      <c r="F9" s="343" t="s">
        <v>224</v>
      </c>
      <c r="G9" s="334" t="s">
        <v>216</v>
      </c>
    </row>
    <row r="10" spans="2:11" ht="28.25" customHeight="1" x14ac:dyDescent="0.15">
      <c r="B10" s="27">
        <v>7</v>
      </c>
      <c r="C10" s="277">
        <v>44958</v>
      </c>
      <c r="D10" s="217" t="s">
        <v>241</v>
      </c>
      <c r="E10" s="343" t="s">
        <v>242</v>
      </c>
      <c r="F10" s="343" t="s">
        <v>240</v>
      </c>
      <c r="G10" s="334" t="s">
        <v>216</v>
      </c>
    </row>
    <row r="11" spans="2:11" ht="28.25" customHeight="1" x14ac:dyDescent="0.15">
      <c r="B11" s="27">
        <v>8</v>
      </c>
      <c r="C11" s="277">
        <v>45009</v>
      </c>
      <c r="D11" s="217" t="s">
        <v>285</v>
      </c>
      <c r="E11" s="343" t="s">
        <v>245</v>
      </c>
      <c r="F11" s="343" t="s">
        <v>286</v>
      </c>
      <c r="G11" s="334" t="s">
        <v>216</v>
      </c>
    </row>
    <row r="12" spans="2:11" ht="28.25" customHeight="1" x14ac:dyDescent="0.15">
      <c r="B12" s="27" t="str">
        <f t="shared" si="0"/>
        <v/>
      </c>
      <c r="C12" s="277"/>
      <c r="D12" s="217"/>
      <c r="E12" s="343"/>
      <c r="F12" s="343"/>
      <c r="G12" s="334"/>
    </row>
    <row r="13" spans="2:11" ht="28.25" customHeight="1" x14ac:dyDescent="0.15">
      <c r="B13" s="27" t="str">
        <f t="shared" si="0"/>
        <v/>
      </c>
      <c r="C13" s="277"/>
      <c r="D13" s="217"/>
      <c r="E13" s="343"/>
      <c r="F13" s="343"/>
      <c r="G13" s="334"/>
    </row>
    <row r="14" spans="2:11" ht="28.25" customHeight="1" x14ac:dyDescent="0.15">
      <c r="B14" s="27" t="str">
        <f t="shared" si="0"/>
        <v/>
      </c>
      <c r="C14" s="277"/>
      <c r="D14" s="217"/>
      <c r="E14" s="343"/>
      <c r="F14" s="343"/>
      <c r="G14" s="334"/>
    </row>
    <row r="15" spans="2:11" ht="28.25" customHeight="1" x14ac:dyDescent="0.15">
      <c r="B15" s="27" t="str">
        <f t="shared" si="0"/>
        <v/>
      </c>
      <c r="C15" s="277"/>
      <c r="D15" s="217"/>
      <c r="E15" s="343"/>
      <c r="F15" s="343"/>
      <c r="G15" s="334"/>
    </row>
    <row r="16" spans="2:11" ht="28.25" customHeight="1" x14ac:dyDescent="0.15">
      <c r="B16" s="27" t="str">
        <f t="shared" si="0"/>
        <v/>
      </c>
      <c r="C16" s="277"/>
      <c r="D16" s="217"/>
      <c r="E16" s="343"/>
      <c r="F16" s="343"/>
      <c r="G16" s="334"/>
    </row>
    <row r="17" spans="2:7" ht="28.25" customHeight="1" x14ac:dyDescent="0.15">
      <c r="B17" s="27" t="str">
        <f t="shared" si="0"/>
        <v/>
      </c>
      <c r="C17" s="277"/>
      <c r="D17" s="217"/>
      <c r="E17" s="343"/>
      <c r="F17" s="343"/>
      <c r="G17" s="334"/>
    </row>
    <row r="18" spans="2:7" ht="28.25" customHeight="1" x14ac:dyDescent="0.15">
      <c r="B18" s="27" t="str">
        <f t="shared" si="0"/>
        <v/>
      </c>
      <c r="C18" s="277"/>
      <c r="D18" s="217"/>
      <c r="E18" s="343"/>
      <c r="F18" s="343"/>
      <c r="G18" s="334"/>
    </row>
    <row r="19" spans="2:7" ht="28.25" customHeight="1" x14ac:dyDescent="0.15">
      <c r="B19" s="27" t="str">
        <f t="shared" si="0"/>
        <v/>
      </c>
      <c r="C19" s="277"/>
      <c r="D19" s="217"/>
      <c r="E19" s="343"/>
      <c r="F19" s="343"/>
      <c r="G19" s="334"/>
    </row>
    <row r="20" spans="2:7" ht="28.25" customHeight="1" x14ac:dyDescent="0.15">
      <c r="B20" s="27" t="str">
        <f t="shared" si="0"/>
        <v/>
      </c>
      <c r="C20" s="277"/>
      <c r="D20" s="217"/>
      <c r="E20" s="343"/>
      <c r="F20" s="343"/>
      <c r="G20" s="334"/>
    </row>
    <row r="21" spans="2:7" ht="28.25" customHeight="1" x14ac:dyDescent="0.15">
      <c r="B21" s="27" t="str">
        <f t="shared" si="0"/>
        <v/>
      </c>
      <c r="C21" s="277"/>
      <c r="D21" s="217"/>
      <c r="E21" s="343"/>
      <c r="F21" s="343"/>
      <c r="G21" s="334"/>
    </row>
    <row r="22" spans="2:7" ht="28.25" customHeight="1" x14ac:dyDescent="0.15">
      <c r="B22" s="27" t="str">
        <f t="shared" si="0"/>
        <v/>
      </c>
      <c r="C22" s="277"/>
      <c r="D22" s="217"/>
      <c r="E22" s="343"/>
      <c r="F22" s="343"/>
      <c r="G22" s="334"/>
    </row>
    <row r="23" spans="2:7" ht="28.25" customHeight="1" x14ac:dyDescent="0.15">
      <c r="B23" s="27" t="str">
        <f t="shared" si="0"/>
        <v/>
      </c>
      <c r="C23" s="277"/>
      <c r="D23" s="217"/>
      <c r="E23" s="343"/>
      <c r="F23" s="343"/>
      <c r="G23" s="334"/>
    </row>
    <row r="24" spans="2:7" ht="28.25" customHeight="1" x14ac:dyDescent="0.15">
      <c r="B24" s="27" t="str">
        <f t="shared" si="0"/>
        <v/>
      </c>
      <c r="C24" s="277"/>
      <c r="D24" s="217"/>
      <c r="E24" s="343"/>
      <c r="F24" s="343"/>
      <c r="G24" s="334"/>
    </row>
    <row r="25" spans="2:7" ht="28.25" customHeight="1" x14ac:dyDescent="0.15">
      <c r="B25" s="27" t="str">
        <f t="shared" si="0"/>
        <v/>
      </c>
      <c r="C25" s="277"/>
      <c r="D25" s="217"/>
      <c r="E25" s="343"/>
      <c r="F25" s="343"/>
      <c r="G25" s="334"/>
    </row>
    <row r="26" spans="2:7" ht="28.25" customHeight="1" x14ac:dyDescent="0.15">
      <c r="B26" s="27" t="str">
        <f t="shared" si="0"/>
        <v/>
      </c>
      <c r="C26" s="277"/>
      <c r="D26" s="217"/>
      <c r="E26" s="343"/>
      <c r="F26" s="343"/>
      <c r="G26" s="334"/>
    </row>
    <row r="27" spans="2:7" ht="28.25" customHeight="1" x14ac:dyDescent="0.15">
      <c r="B27" s="27" t="str">
        <f t="shared" si="0"/>
        <v/>
      </c>
      <c r="C27" s="277"/>
      <c r="D27" s="217"/>
      <c r="E27" s="343"/>
      <c r="F27" s="343"/>
      <c r="G27" s="334"/>
    </row>
    <row r="28" spans="2:7" ht="28.25" customHeight="1" x14ac:dyDescent="0.15">
      <c r="B28" s="27" t="str">
        <f t="shared" si="0"/>
        <v/>
      </c>
      <c r="C28" s="277"/>
      <c r="D28" s="217"/>
      <c r="E28" s="343"/>
      <c r="F28" s="343"/>
      <c r="G28" s="334"/>
    </row>
    <row r="29" spans="2:7" ht="28.25" customHeight="1" x14ac:dyDescent="0.15">
      <c r="B29" s="27" t="str">
        <f t="shared" si="0"/>
        <v/>
      </c>
      <c r="C29" s="277"/>
      <c r="D29" s="217"/>
      <c r="E29" s="343"/>
      <c r="F29" s="343"/>
      <c r="G29" s="334"/>
    </row>
    <row r="30" spans="2:7" ht="28.25" customHeight="1" x14ac:dyDescent="0.15">
      <c r="B30" s="27" t="str">
        <f t="shared" si="0"/>
        <v/>
      </c>
      <c r="C30" s="277"/>
      <c r="D30" s="217"/>
      <c r="E30" s="343"/>
      <c r="F30" s="343"/>
      <c r="G30" s="334"/>
    </row>
    <row r="31" spans="2:7" ht="28.25" customHeight="1" x14ac:dyDescent="0.15">
      <c r="B31" s="27" t="str">
        <f t="shared" si="0"/>
        <v/>
      </c>
      <c r="C31" s="277"/>
      <c r="D31" s="217"/>
      <c r="E31" s="343"/>
      <c r="F31" s="343"/>
      <c r="G31" s="334"/>
    </row>
    <row r="32" spans="2:7" ht="28.25" customHeight="1" x14ac:dyDescent="0.15">
      <c r="B32" s="27" t="str">
        <f t="shared" si="0"/>
        <v/>
      </c>
      <c r="C32" s="277"/>
      <c r="D32" s="217"/>
      <c r="E32" s="343"/>
      <c r="F32" s="343"/>
      <c r="G32" s="334"/>
    </row>
    <row r="33" spans="2:7" ht="28.25" customHeight="1" x14ac:dyDescent="0.15">
      <c r="B33" s="27" t="str">
        <f t="shared" si="0"/>
        <v/>
      </c>
      <c r="C33" s="277"/>
      <c r="D33" s="217"/>
      <c r="E33" s="343"/>
      <c r="F33" s="343"/>
      <c r="G33" s="334"/>
    </row>
    <row r="34" spans="2:7" ht="28.25" customHeight="1" x14ac:dyDescent="0.15">
      <c r="B34" s="27" t="str">
        <f t="shared" si="0"/>
        <v/>
      </c>
      <c r="C34" s="277"/>
      <c r="D34" s="217"/>
      <c r="E34" s="343"/>
      <c r="F34" s="343"/>
      <c r="G34" s="334"/>
    </row>
    <row r="35" spans="2:7" ht="28.25" customHeight="1" thickBot="1" x14ac:dyDescent="0.2">
      <c r="B35" s="58" t="str">
        <f t="shared" si="0"/>
        <v/>
      </c>
      <c r="C35" s="278"/>
      <c r="D35" s="218"/>
      <c r="E35" s="344"/>
      <c r="F35" s="344"/>
      <c r="G35" s="335"/>
    </row>
  </sheetData>
  <sheetProtection algorithmName="SHA-512" hashValue="FtkyW6bOPKV00UJ5hvEebKcLcuxPtxugRiBvd6XVLMF0hrOT+gh6ysLgumjXAiIFR5iTjuksxL6dYiiKMByIHg==" saltValue="5GEfICEceFS9ZtwqLQAEUQ==" spinCount="100000" sheet="1" objects="1" scenarios="1"/>
  <phoneticPr fontId="29" type="noConversion"/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Menue">
                <anchor moveWithCells="1" sizeWithCells="1">
                  <from>
                    <xdr:col>8</xdr:col>
                    <xdr:colOff>177800</xdr:colOff>
                    <xdr:row>1</xdr:row>
                    <xdr:rowOff>139700</xdr:rowOff>
                  </from>
                  <to>
                    <xdr:col>10</xdr:col>
                    <xdr:colOff>558800</xdr:colOff>
                    <xdr:row>2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56</vt:i4>
      </vt:variant>
    </vt:vector>
  </HeadingPairs>
  <TitlesOfParts>
    <vt:vector size="63" baseType="lpstr">
      <vt:lpstr>Menue</vt:lpstr>
      <vt:lpstr>Eingaben</vt:lpstr>
      <vt:lpstr>Ergebnisse</vt:lpstr>
      <vt:lpstr>Ausgabe</vt:lpstr>
      <vt:lpstr>E-Mobilitaet</vt:lpstr>
      <vt:lpstr>Daten</vt:lpstr>
      <vt:lpstr>Revision</vt:lpstr>
      <vt:lpstr>Azimut</vt:lpstr>
      <vt:lpstr>B_Preis</vt:lpstr>
      <vt:lpstr>Betriebskosten</vt:lpstr>
      <vt:lpstr>Bezug</vt:lpstr>
      <vt:lpstr>Bezug_zuhause_N</vt:lpstr>
      <vt:lpstr>Bezug_zuhause_T</vt:lpstr>
      <vt:lpstr>Datum_Inbetrieb</vt:lpstr>
      <vt:lpstr>Degradation</vt:lpstr>
      <vt:lpstr>EA_zuhause_laden</vt:lpstr>
      <vt:lpstr>EEG_Verg_10</vt:lpstr>
      <vt:lpstr>EEG_Verg_10_40</vt:lpstr>
      <vt:lpstr>EEG_Verg_40_750</vt:lpstr>
      <vt:lpstr>Eigenverbrauch</vt:lpstr>
      <vt:lpstr>Einspeis_Verg</vt:lpstr>
      <vt:lpstr>Ertrag_Jahr01</vt:lpstr>
      <vt:lpstr>Flaechen</vt:lpstr>
      <vt:lpstr>Grundgebühr_WP</vt:lpstr>
      <vt:lpstr>Invest_PV</vt:lpstr>
      <vt:lpstr>Jähr.Einsp_EA</vt:lpstr>
      <vt:lpstr>Jähr.Einsp_EA_Dek2</vt:lpstr>
      <vt:lpstr>Kost_Benz</vt:lpstr>
      <vt:lpstr>KtoStand_Ende</vt:lpstr>
      <vt:lpstr>MwSt</vt:lpstr>
      <vt:lpstr>Preissteigerung</vt:lpstr>
      <vt:lpstr>Ausgabe!Print_Area</vt:lpstr>
      <vt:lpstr>'E-Mobilitaet'!Print_Area</vt:lpstr>
      <vt:lpstr>Eingaben!Print_Area</vt:lpstr>
      <vt:lpstr>PrSteig_Sprit</vt:lpstr>
      <vt:lpstr>PV_laden_EA</vt:lpstr>
      <vt:lpstr>PV_Leistung</vt:lpstr>
      <vt:lpstr>Quote_Eigenverbrauch</vt:lpstr>
      <vt:lpstr>SolDeck</vt:lpstr>
      <vt:lpstr>Speicher_Akku</vt:lpstr>
      <vt:lpstr>Speicherverl</vt:lpstr>
      <vt:lpstr>Spez.Energie_Ertrag</vt:lpstr>
      <vt:lpstr>Status_EA</vt:lpstr>
      <vt:lpstr>SteuerM</vt:lpstr>
      <vt:lpstr>SteuerM0</vt:lpstr>
      <vt:lpstr>SteuerM1</vt:lpstr>
      <vt:lpstr>Steuermodell</vt:lpstr>
      <vt:lpstr>Strom_EMOB</vt:lpstr>
      <vt:lpstr>Strom_HH</vt:lpstr>
      <vt:lpstr>Strom_WP</vt:lpstr>
      <vt:lpstr>Strompreis_HH</vt:lpstr>
      <vt:lpstr>Strompreis_WP</vt:lpstr>
      <vt:lpstr>Verbr_Benz</vt:lpstr>
      <vt:lpstr>Vergt</vt:lpstr>
      <vt:lpstr>Vorteil_BKosten_EA</vt:lpstr>
      <vt:lpstr>Vorteil_BKosten_EA_Dek2</vt:lpstr>
      <vt:lpstr>Vorteil_EA</vt:lpstr>
      <vt:lpstr>Zählermodell</vt:lpstr>
      <vt:lpstr>ZinsGewinn</vt:lpstr>
      <vt:lpstr>ZinsInvest</vt:lpstr>
      <vt:lpstr>Zinssatz_Gewinn</vt:lpstr>
      <vt:lpstr>Zinssatz_Invest</vt:lpstr>
      <vt:lpstr>Zusatzkosten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Di Bella</dc:creator>
  <cp:lastModifiedBy>Microsoft Office User</cp:lastModifiedBy>
  <cp:lastPrinted>2023-02-05T17:35:21Z</cp:lastPrinted>
  <dcterms:created xsi:type="dcterms:W3CDTF">2021-06-20T12:42:41Z</dcterms:created>
  <dcterms:modified xsi:type="dcterms:W3CDTF">2023-04-23T17:52:38Z</dcterms:modified>
</cp:coreProperties>
</file>